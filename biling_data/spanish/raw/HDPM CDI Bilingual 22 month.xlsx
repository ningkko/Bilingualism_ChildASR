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ydevlab\Downloads\New folder (2)\New folder (2)\"/>
    </mc:Choice>
  </mc:AlternateContent>
  <bookViews>
    <workbookView xWindow="0" yWindow="0" windowWidth="25410" windowHeight="11910" tabRatio="682"/>
  </bookViews>
  <sheets>
    <sheet name="Sound Effects and Animal Sounds" sheetId="1" r:id="rId1"/>
    <sheet name="Animals (Real or Toy)" sheetId="2" r:id="rId2"/>
    <sheet name="Vehicles (Real or Toy) &amp; Toys" sheetId="3" r:id="rId3"/>
    <sheet name="Food and Drink" sheetId="4" r:id="rId4"/>
    <sheet name="Clothing &amp; Body Parts" sheetId="5" r:id="rId5"/>
    <sheet name="Small Household Items" sheetId="6" r:id="rId6"/>
    <sheet name="Furniture and Rooms" sheetId="7" r:id="rId7"/>
    <sheet name="Outside Things" sheetId="8" r:id="rId8"/>
    <sheet name="Places to Go; People" sheetId="9" r:id="rId9"/>
    <sheet name="Games and Routines" sheetId="10" r:id="rId10"/>
    <sheet name="Action Words" sheetId="11" r:id="rId11"/>
    <sheet name="Descriptive Words" sheetId="12" r:id="rId12"/>
    <sheet name="Words-time; Pronouns; Que" sheetId="13" r:id="rId13"/>
    <sheet name="Prepositions and locations, qua" sheetId="15" r:id="rId14"/>
    <sheet name="Helping Verbs, Connecting Words" sheetId="16" r:id="rId15"/>
    <sheet name="B. Word Forms" sheetId="18" r:id="rId16"/>
    <sheet name="C. Word Endings Part 2" sheetId="19" r:id="rId17"/>
    <sheet name="Not in Use" sheetId="17" r:id="rId18"/>
    <sheet name="Not in Use 2" sheetId="20" r:id="rId19"/>
    <sheet name="Not in Use 3" sheetId="21" r:id="rId20"/>
  </sheets>
  <calcPr calcId="152511"/>
</workbook>
</file>

<file path=xl/calcChain.xml><?xml version="1.0" encoding="utf-8"?>
<calcChain xmlns="http://schemas.openxmlformats.org/spreadsheetml/2006/main">
  <c r="AG9" i="20" l="1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B9" i="20"/>
  <c r="BM56" i="19"/>
  <c r="BL56" i="19"/>
  <c r="BK56" i="19"/>
  <c r="BJ56" i="19"/>
  <c r="BI56" i="19"/>
  <c r="BH56" i="19"/>
  <c r="BG56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BM9" i="18"/>
  <c r="BL9" i="18"/>
  <c r="BK9" i="18"/>
  <c r="BJ9" i="18"/>
  <c r="BI9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U9" i="18"/>
  <c r="AT9" i="18"/>
  <c r="AS9" i="18"/>
  <c r="AR9" i="18"/>
  <c r="AQ9" i="18"/>
  <c r="AP9" i="18"/>
  <c r="AO9" i="18"/>
  <c r="AN9" i="18"/>
  <c r="AM9" i="18"/>
  <c r="AL9" i="18"/>
  <c r="AK9" i="18"/>
  <c r="AJ9" i="18"/>
  <c r="AI9" i="18"/>
  <c r="AH9" i="18"/>
  <c r="AG9" i="18"/>
  <c r="AF9" i="18"/>
  <c r="AE9" i="18"/>
  <c r="AD9" i="18"/>
  <c r="AC9" i="18"/>
  <c r="AB9" i="18"/>
  <c r="AA9" i="18"/>
  <c r="Z9" i="18"/>
  <c r="Y9" i="18"/>
  <c r="X9" i="18"/>
  <c r="W9" i="18"/>
  <c r="V9" i="18"/>
  <c r="U9" i="18"/>
  <c r="T9" i="18"/>
  <c r="S9" i="18"/>
  <c r="R9" i="18"/>
  <c r="Q9" i="18"/>
  <c r="P9" i="18"/>
  <c r="O9" i="18"/>
  <c r="N9" i="18"/>
  <c r="M9" i="18"/>
  <c r="L9" i="18"/>
  <c r="K9" i="18"/>
  <c r="J9" i="18"/>
  <c r="I9" i="18"/>
  <c r="H9" i="18"/>
  <c r="G9" i="18"/>
  <c r="F9" i="18"/>
  <c r="E9" i="18"/>
  <c r="D9" i="18"/>
  <c r="C9" i="18"/>
  <c r="B9" i="18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AH37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AH25" i="16"/>
  <c r="AG25" i="16"/>
  <c r="AF25" i="16"/>
  <c r="AE25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BM53" i="15"/>
  <c r="BL53" i="15"/>
  <c r="BK53" i="15"/>
  <c r="BJ53" i="15"/>
  <c r="BI53" i="15"/>
  <c r="BH53" i="15"/>
  <c r="BG53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M30" i="15"/>
  <c r="BL30" i="15"/>
  <c r="BK30" i="15"/>
  <c r="BJ30" i="15"/>
  <c r="BI30" i="15"/>
  <c r="BH30" i="15"/>
  <c r="BG30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M60" i="13"/>
  <c r="BL60" i="13"/>
  <c r="BK60" i="13"/>
  <c r="BJ60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BM16" i="13"/>
  <c r="BL16" i="13"/>
  <c r="BK16" i="13"/>
  <c r="BJ16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BM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BM29" i="10"/>
  <c r="BL29" i="10"/>
  <c r="BK29" i="10"/>
  <c r="BJ29" i="10"/>
  <c r="BI29" i="10"/>
  <c r="BH29" i="10"/>
  <c r="BG29" i="10"/>
  <c r="BF29" i="10"/>
  <c r="BE29" i="10"/>
  <c r="BD29" i="10"/>
  <c r="BC29" i="10"/>
  <c r="BB29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BM61" i="9"/>
  <c r="BL61" i="9"/>
  <c r="BK61" i="9"/>
  <c r="BJ61" i="9"/>
  <c r="BI61" i="9"/>
  <c r="BH61" i="9"/>
  <c r="BG61" i="9"/>
  <c r="BF61" i="9"/>
  <c r="BE61" i="9"/>
  <c r="BD61" i="9"/>
  <c r="BC61" i="9"/>
  <c r="BB61" i="9"/>
  <c r="BA61" i="9"/>
  <c r="AZ61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BM26" i="9"/>
  <c r="BL26" i="9"/>
  <c r="BK26" i="9"/>
  <c r="BJ26" i="9"/>
  <c r="BI26" i="9"/>
  <c r="BH26" i="9"/>
  <c r="BG26" i="9"/>
  <c r="BF26" i="9"/>
  <c r="BE26" i="9"/>
  <c r="BD26" i="9"/>
  <c r="BC26" i="9"/>
  <c r="BB26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BM35" i="8"/>
  <c r="BL35" i="8"/>
  <c r="BK35" i="8"/>
  <c r="BJ35" i="8"/>
  <c r="BI35" i="8"/>
  <c r="BH35" i="8"/>
  <c r="BG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BM37" i="7"/>
  <c r="BL37" i="7"/>
  <c r="BK37" i="7"/>
  <c r="BJ37" i="7"/>
  <c r="BI37" i="7"/>
  <c r="BH37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BM54" i="6"/>
  <c r="BL54" i="6"/>
  <c r="BK54" i="6"/>
  <c r="BJ54" i="6"/>
  <c r="BI54" i="6"/>
  <c r="BH54" i="6"/>
  <c r="BG54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</calcChain>
</file>

<file path=xl/sharedStrings.xml><?xml version="1.0" encoding="utf-8"?>
<sst xmlns="http://schemas.openxmlformats.org/spreadsheetml/2006/main" count="2687" uniqueCount="944">
  <si>
    <t>Testing Code</t>
  </si>
  <si>
    <t>baa baa</t>
  </si>
  <si>
    <t>choo choo</t>
  </si>
  <si>
    <t>cockadoodledoo</t>
  </si>
  <si>
    <t>grr</t>
  </si>
  <si>
    <t>meow</t>
  </si>
  <si>
    <t>moo</t>
  </si>
  <si>
    <t>ouch</t>
  </si>
  <si>
    <t>quack quack</t>
  </si>
  <si>
    <t>uh oh</t>
  </si>
  <si>
    <t>vroom</t>
  </si>
  <si>
    <t>woof woof</t>
  </si>
  <si>
    <t>yum yum</t>
  </si>
  <si>
    <t>alligator</t>
  </si>
  <si>
    <t>animal</t>
  </si>
  <si>
    <t>ant</t>
  </si>
  <si>
    <t>bear</t>
  </si>
  <si>
    <t>bee</t>
  </si>
  <si>
    <t>bird</t>
  </si>
  <si>
    <t>bug</t>
  </si>
  <si>
    <t>bunny</t>
  </si>
  <si>
    <t>butterfly</t>
  </si>
  <si>
    <t>cat</t>
  </si>
  <si>
    <t>chicken</t>
  </si>
  <si>
    <t>cow</t>
  </si>
  <si>
    <t>deer</t>
  </si>
  <si>
    <t>dog</t>
  </si>
  <si>
    <t>donkey</t>
  </si>
  <si>
    <t>duck</t>
  </si>
  <si>
    <t>elephant</t>
  </si>
  <si>
    <t>fish</t>
  </si>
  <si>
    <t>frog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</si>
  <si>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</si>
  <si>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</si>
  <si>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</si>
  <si>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</si>
  <si>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</si>
  <si>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</si>
  <si>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</si>
  <si>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</si>
  <si>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</si>
  <si>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</si>
  <si>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</si>
  <si>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</si>
  <si>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</si>
  <si>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</si>
  <si>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</si>
  <si>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</si>
  <si>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</si>
  <si>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teddybear</t>
  </si>
  <si>
    <t>tiger</t>
  </si>
  <si>
    <t>turkey</t>
  </si>
  <si>
    <t>turtle</t>
  </si>
  <si>
    <t>wolf</t>
  </si>
  <si>
    <t>airplane</t>
  </si>
  <si>
    <t>bicycle</t>
  </si>
  <si>
    <t>boat</t>
  </si>
  <si>
    <t>bus</t>
  </si>
  <si>
    <t>car</t>
  </si>
  <si>
    <t>firetruck</t>
  </si>
  <si>
    <t>helicopter</t>
  </si>
  <si>
    <t>motorcycle</t>
  </si>
  <si>
    <t>sled</t>
  </si>
  <si>
    <t>stroller</t>
  </si>
  <si>
    <t>tractor</t>
  </si>
  <si>
    <t>train</t>
  </si>
  <si>
    <t>tricycle</t>
  </si>
  <si>
    <t>truck</t>
  </si>
  <si>
    <t>TOYS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</si>
  <si>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</si>
  <si>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</si>
  <si>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</si>
  <si>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</si>
  <si>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</si>
  <si>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</si>
  <si>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</si>
  <si>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</si>
  <si>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</si>
  <si>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</si>
  <si>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</si>
  <si>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</si>
  <si>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</si>
  <si>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 dough</t>
  </si>
  <si>
    <t>present</t>
  </si>
  <si>
    <t>puzzle</t>
  </si>
  <si>
    <t>story</t>
  </si>
  <si>
    <t>toy</t>
  </si>
  <si>
    <t>VEHICLES (Real or Toy)</t>
  </si>
  <si>
    <t>ANIMALS (Real or Toy)</t>
  </si>
  <si>
    <t>SOUND EFFECTS AND ANIMAL SOUNDS</t>
  </si>
  <si>
    <t>FOOD AND DRINK</t>
  </si>
  <si>
    <t>apple</t>
  </si>
  <si>
    <t>applesauce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</si>
  <si>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</si>
  <si>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</si>
  <si>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</si>
  <si>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</si>
  <si>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</si>
  <si>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</si>
  <si>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</si>
  <si>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</si>
  <si>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</si>
  <si>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</si>
  <si>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chocolate</t>
  </si>
  <si>
    <t>coffee</t>
  </si>
  <si>
    <t>coke</t>
  </si>
  <si>
    <t>cookie</t>
  </si>
  <si>
    <t>corn</t>
  </si>
  <si>
    <t>cracker</t>
  </si>
  <si>
    <t>donut</t>
  </si>
  <si>
    <t>egg</t>
  </si>
  <si>
    <t>food</t>
  </si>
  <si>
    <t>french fries</t>
  </si>
  <si>
    <t>grapes</t>
  </si>
  <si>
    <t>green beans</t>
  </si>
  <si>
    <t>gum</t>
  </si>
  <si>
    <t>hamburger</t>
  </si>
  <si>
    <t>ice</t>
  </si>
  <si>
    <t>ice 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</si>
  <si>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</si>
  <si>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</si>
  <si>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</si>
  <si>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</si>
  <si>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</si>
  <si>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</si>
  <si>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</si>
  <si>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</si>
  <si>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</si>
  <si>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orange</t>
  </si>
  <si>
    <t>pancake</t>
  </si>
  <si>
    <t>peanut butter</t>
  </si>
  <si>
    <t>peas</t>
  </si>
  <si>
    <t>pickle</t>
  </si>
  <si>
    <t>pizza</t>
  </si>
  <si>
    <t>popcorn</t>
  </si>
  <si>
    <t>popsicle</t>
  </si>
  <si>
    <t>potato</t>
  </si>
  <si>
    <t>potato chip</t>
  </si>
  <si>
    <t>pretzel</t>
  </si>
  <si>
    <t>pudding</t>
  </si>
  <si>
    <t>pumpkin</t>
  </si>
  <si>
    <t>raisin</t>
  </si>
  <si>
    <t>salt</t>
  </si>
  <si>
    <t>sandwich</t>
  </si>
  <si>
    <t>sauce</t>
  </si>
  <si>
    <t>soda/pop</t>
  </si>
  <si>
    <t>soup</t>
  </si>
  <si>
    <t>spaghetti</t>
  </si>
  <si>
    <t>strawberry</t>
  </si>
  <si>
    <t>toast</t>
  </si>
  <si>
    <t>tuna</t>
  </si>
  <si>
    <t>vanilla</t>
  </si>
  <si>
    <t>vitamins</t>
  </si>
  <si>
    <t>water</t>
  </si>
  <si>
    <t>yogurt</t>
  </si>
  <si>
    <t>CLOTHING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</si>
  <si>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</si>
  <si>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</si>
  <si>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</si>
  <si>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</si>
  <si>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</si>
  <si>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</si>
  <si>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</si>
  <si>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</si>
  <si>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</si>
  <si>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</si>
  <si>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</si>
  <si>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</si>
  <si>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</si>
  <si>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</si>
  <si>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</si>
  <si>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</si>
  <si>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</si>
  <si>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</si>
  <si>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</si>
  <si>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</si>
  <si>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</si>
  <si>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</si>
  <si>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</si>
  <si>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</si>
  <si>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</si>
  <si>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</si>
  <si>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underpants</t>
  </si>
  <si>
    <t>zipper</t>
  </si>
  <si>
    <t>BODY PARTS</t>
  </si>
  <si>
    <t>ankle</t>
  </si>
  <si>
    <t>arm</t>
  </si>
  <si>
    <t>belly button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</si>
  <si>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</si>
  <si>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</si>
  <si>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</si>
  <si>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</si>
  <si>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</si>
  <si>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</si>
  <si>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</si>
  <si>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</si>
  <si>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</si>
  <si>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</si>
  <si>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</si>
  <si>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</si>
  <si>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</si>
  <si>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</si>
  <si>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</si>
  <si>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owie/boo boo</t>
  </si>
  <si>
    <t>shoulder</t>
  </si>
  <si>
    <t>tooth</t>
  </si>
  <si>
    <t>toe</t>
  </si>
  <si>
    <t>tongue</t>
  </si>
  <si>
    <t>tummy</t>
  </si>
  <si>
    <t>vagina*</t>
  </si>
  <si>
    <t>penis*</t>
  </si>
  <si>
    <t>buttocks/bottom*</t>
  </si>
  <si>
    <t>SMALL HOUSEHOLD ITEMS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</si>
  <si>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</si>
  <si>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</si>
  <si>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</si>
  <si>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</si>
  <si>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</si>
  <si>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</si>
  <si>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</si>
  <si>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</si>
  <si>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</si>
  <si>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</si>
  <si>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</si>
  <si>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</si>
  <si>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</si>
  <si>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</si>
  <si>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</si>
  <si>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</si>
  <si>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</si>
  <si>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</si>
  <si>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</si>
  <si>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</si>
  <si>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</si>
  <si>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</si>
  <si>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</si>
  <si>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</si>
  <si>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</si>
  <si>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</si>
  <si>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</si>
  <si>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</si>
  <si>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</si>
  <si>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</si>
  <si>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</si>
  <si>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</si>
  <si>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</si>
  <si>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</si>
  <si>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</si>
  <si>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</si>
  <si>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</si>
  <si>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</si>
  <si>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</si>
  <si>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</si>
  <si>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</si>
  <si>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telephone</t>
  </si>
  <si>
    <t>tissue/kleenex</t>
  </si>
  <si>
    <t>toothbrush</t>
  </si>
  <si>
    <t>towel</t>
  </si>
  <si>
    <t>trash</t>
  </si>
  <si>
    <t>tray</t>
  </si>
  <si>
    <t>vacuum</t>
  </si>
  <si>
    <t>walker</t>
  </si>
  <si>
    <t>watch</t>
  </si>
  <si>
    <t>FURNITURE AND ROOMS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</si>
  <si>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</si>
  <si>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</si>
  <si>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</si>
  <si>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</si>
  <si>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</si>
  <si>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</si>
  <si>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</si>
  <si>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</si>
  <si>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</si>
  <si>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</si>
  <si>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</si>
  <si>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</si>
  <si>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</si>
  <si>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</si>
  <si>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 chair</t>
  </si>
  <si>
    <t>kitchen</t>
  </si>
  <si>
    <t>living room</t>
  </si>
  <si>
    <t>oven</t>
  </si>
  <si>
    <t>play pen</t>
  </si>
  <si>
    <t>porch</t>
  </si>
  <si>
    <t>potty</t>
  </si>
  <si>
    <t>refrigerator</t>
  </si>
  <si>
    <t>rocking 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</si>
  <si>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</si>
  <si>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</si>
  <si>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</si>
  <si>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</si>
  <si>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</si>
  <si>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</si>
  <si>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</si>
  <si>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</si>
  <si>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 machine</t>
  </si>
  <si>
    <t>window</t>
  </si>
  <si>
    <t>OUTSIDE THINGS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</si>
  <si>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</si>
  <si>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</si>
  <si>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</si>
  <si>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</si>
  <si>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</si>
  <si>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</si>
  <si>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</si>
  <si>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</si>
  <si>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 mower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</si>
  <si>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</si>
  <si>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</si>
  <si>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</si>
  <si>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</si>
  <si>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</si>
  <si>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</si>
  <si>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</si>
  <si>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</si>
  <si>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</si>
  <si>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</t>
  </si>
  <si>
    <t>snow</t>
  </si>
  <si>
    <t>snowman</t>
  </si>
  <si>
    <t>sprinkler</t>
  </si>
  <si>
    <t>star</t>
  </si>
  <si>
    <t>stick</t>
  </si>
  <si>
    <t>stone</t>
  </si>
  <si>
    <t>street</t>
  </si>
  <si>
    <t>sun</t>
  </si>
  <si>
    <t>swing</t>
  </si>
  <si>
    <t>tree</t>
  </si>
  <si>
    <t>wind</t>
  </si>
  <si>
    <t>beach</t>
  </si>
  <si>
    <t>camping</t>
  </si>
  <si>
    <t>church*</t>
  </si>
  <si>
    <t>circus</t>
  </si>
  <si>
    <t>country</t>
  </si>
  <si>
    <t>downtown</t>
  </si>
  <si>
    <t>farm</t>
  </si>
  <si>
    <t>gas station</t>
  </si>
  <si>
    <t>PLACES TO GO</t>
  </si>
  <si>
    <t>home</t>
  </si>
  <si>
    <t>house</t>
  </si>
  <si>
    <t>movie</t>
  </si>
  <si>
    <t>outside</t>
  </si>
  <si>
    <t>park</t>
  </si>
  <si>
    <t>party</t>
  </si>
  <si>
    <t>picnic</t>
  </si>
  <si>
    <t>playground</t>
  </si>
  <si>
    <t>school</t>
  </si>
  <si>
    <t>store</t>
  </si>
  <si>
    <t>woods</t>
  </si>
  <si>
    <t>work</t>
  </si>
  <si>
    <t>yard</t>
  </si>
  <si>
    <t>zoo</t>
  </si>
  <si>
    <t>PEOPLE</t>
  </si>
  <si>
    <t>aunt</t>
  </si>
  <si>
    <t>baby</t>
  </si>
  <si>
    <t>babysitter</t>
  </si>
  <si>
    <t>babysitter's name</t>
  </si>
  <si>
    <t>boy</t>
  </si>
  <si>
    <t>brother</t>
  </si>
  <si>
    <t>child</t>
  </si>
  <si>
    <t>clown</t>
  </si>
  <si>
    <t>cowboy</t>
  </si>
  <si>
    <t>daddy*</t>
  </si>
  <si>
    <t>doctor</t>
  </si>
  <si>
    <t>fireman</t>
  </si>
  <si>
    <t>friend</t>
  </si>
  <si>
    <t>girl</t>
  </si>
  <si>
    <t>grandma*</t>
  </si>
  <si>
    <t>grandpa*</t>
  </si>
  <si>
    <t>lady</t>
  </si>
  <si>
    <t>mailman</t>
  </si>
  <si>
    <t>man</t>
  </si>
  <si>
    <t>mommy*</t>
  </si>
  <si>
    <t>nurse</t>
  </si>
  <si>
    <t>child's own name</t>
  </si>
  <si>
    <t>people</t>
  </si>
  <si>
    <t>person</t>
  </si>
  <si>
    <t>pet's name</t>
  </si>
  <si>
    <t>police</t>
  </si>
  <si>
    <t>sister</t>
  </si>
  <si>
    <t>teacher</t>
  </si>
  <si>
    <t>uncle</t>
  </si>
  <si>
    <t>GAMES AND ROUTINES</t>
  </si>
  <si>
    <t>bath</t>
  </si>
  <si>
    <t>breakfast</t>
  </si>
  <si>
    <t>bye</t>
  </si>
  <si>
    <t>call (on phone)</t>
  </si>
  <si>
    <t>dinner</t>
  </si>
  <si>
    <t>give me five!</t>
  </si>
  <si>
    <t>gonna get you!</t>
  </si>
  <si>
    <t>go potty</t>
  </si>
  <si>
    <t>hi</t>
  </si>
  <si>
    <t>hello</t>
  </si>
  <si>
    <t>lunch</t>
  </si>
  <si>
    <t>nap</t>
  </si>
  <si>
    <t>night night</t>
  </si>
  <si>
    <t>no</t>
  </si>
  <si>
    <t>patty cake</t>
  </si>
  <si>
    <t>peekaboo</t>
  </si>
  <si>
    <t>please</t>
  </si>
  <si>
    <t>shh/shush/hush</t>
  </si>
  <si>
    <t>shopping</t>
  </si>
  <si>
    <t>snack</t>
  </si>
  <si>
    <t>so big!</t>
  </si>
  <si>
    <t>thank you</t>
  </si>
  <si>
    <t>this little piggy</t>
  </si>
  <si>
    <t>turn around</t>
  </si>
  <si>
    <t>yes</t>
  </si>
  <si>
    <t>ACTION WORDS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</si>
  <si>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</si>
  <si>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</si>
  <si>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</si>
  <si>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</si>
  <si>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</si>
  <si>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</si>
  <si>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</si>
  <si>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</si>
  <si>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</si>
  <si>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</si>
  <si>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</si>
  <si>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</si>
  <si>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</si>
  <si>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</si>
  <si>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</si>
  <si>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</si>
  <si>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</si>
  <si>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</si>
  <si>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</si>
  <si>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</si>
  <si>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</t>
  </si>
  <si>
    <t>drive</t>
  </si>
  <si>
    <t>drop</t>
  </si>
  <si>
    <t>dry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</si>
  <si>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</si>
  <si>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</si>
  <si>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</si>
  <si>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</si>
  <si>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</si>
  <si>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</si>
  <si>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</si>
  <si>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</si>
  <si>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</si>
  <si>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</si>
  <si>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</si>
  <si>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</si>
  <si>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</si>
  <si>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</si>
  <si>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</si>
  <si>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</si>
  <si>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</si>
  <si>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</si>
  <si>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</si>
  <si>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</si>
  <si>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</si>
  <si>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</si>
  <si>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</si>
  <si>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</si>
  <si>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</si>
  <si>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</si>
  <si>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</si>
  <si>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</si>
  <si>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</si>
  <si>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</si>
  <si>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</si>
  <si>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</si>
  <si>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</si>
  <si>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</si>
  <si>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</si>
  <si>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</si>
  <si>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</si>
  <si>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</si>
  <si>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</si>
  <si>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</si>
  <si>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</si>
  <si>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</si>
  <si>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</si>
  <si>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</si>
  <si>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</si>
  <si>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</si>
  <si>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</si>
  <si>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</si>
  <si>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</si>
  <si>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</si>
  <si>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</si>
  <si>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</si>
  <si>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</si>
  <si>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</si>
  <si>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</si>
  <si>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</si>
  <si>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</si>
  <si>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</si>
  <si>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</si>
  <si>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</si>
  <si>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</si>
  <si>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</si>
  <si>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</si>
  <si>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</si>
  <si>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</si>
  <si>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</si>
  <si>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</si>
  <si>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</si>
  <si>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</si>
  <si>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</si>
  <si>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</si>
  <si>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</si>
  <si>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wipe</t>
  </si>
  <si>
    <t>wish</t>
  </si>
  <si>
    <t>DESCRIPTIVE WORDS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</si>
  <si>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</si>
  <si>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</si>
  <si>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</si>
  <si>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</si>
  <si>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</si>
  <si>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</si>
  <si>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</si>
  <si>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</si>
  <si>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</si>
  <si>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</si>
  <si>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</si>
  <si>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cold</t>
  </si>
  <si>
    <t>cute</t>
  </si>
  <si>
    <t>dark</t>
  </si>
  <si>
    <t>dirty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</si>
  <si>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</si>
  <si>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</si>
  <si>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</si>
  <si>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</si>
  <si>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</si>
  <si>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</si>
  <si>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</si>
  <si>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</si>
  <si>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</si>
  <si>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</si>
  <si>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</si>
  <si>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</si>
  <si>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</si>
  <si>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</si>
  <si>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</si>
  <si>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</si>
  <si>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</si>
  <si>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</si>
  <si>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</si>
  <si>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</si>
  <si>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</si>
  <si>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</si>
  <si>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</si>
  <si>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</si>
  <si>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</si>
  <si>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</si>
  <si>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</si>
  <si>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</si>
  <si>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</si>
  <si>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</si>
  <si>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</si>
  <si>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</si>
  <si>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</si>
  <si>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</si>
  <si>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</si>
  <si>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</si>
  <si>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</si>
  <si>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</si>
  <si>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</si>
  <si>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</si>
  <si>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</si>
  <si>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</si>
  <si>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</si>
  <si>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</si>
  <si>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WORDS ABOUT TIME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</si>
  <si>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</si>
  <si>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</si>
  <si>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</si>
  <si>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</si>
  <si>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</si>
  <si>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</si>
  <si>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</si>
  <si>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</si>
  <si>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</si>
  <si>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</si>
  <si>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</si>
  <si>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yesterday</t>
  </si>
  <si>
    <t>PRONOUNS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</si>
  <si>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</si>
  <si>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</si>
  <si>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</si>
  <si>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</si>
  <si>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</si>
  <si>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</si>
  <si>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</si>
  <si>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</si>
  <si>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</si>
  <si>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</si>
  <si>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</si>
  <si>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</si>
  <si>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</si>
  <si>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</si>
  <si>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</si>
  <si>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</si>
  <si>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</si>
  <si>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</si>
  <si>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</si>
  <si>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</si>
  <si>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</si>
  <si>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</si>
  <si>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</si>
  <si>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</si>
  <si>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</si>
  <si>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QUESTION WORDS</t>
  </si>
  <si>
    <t>how</t>
  </si>
  <si>
    <t>what</t>
  </si>
  <si>
    <t>when</t>
  </si>
  <si>
    <t>where</t>
  </si>
  <si>
    <t>which</t>
  </si>
  <si>
    <t>who</t>
  </si>
  <si>
    <t>why</t>
  </si>
  <si>
    <t>Prepositions and Locations</t>
  </si>
  <si>
    <t xml:space="preserve">about </t>
  </si>
  <si>
    <t>above</t>
  </si>
  <si>
    <t>around</t>
  </si>
  <si>
    <t>at</t>
  </si>
  <si>
    <t>away</t>
  </si>
  <si>
    <t>back</t>
  </si>
  <si>
    <t>behind</t>
  </si>
  <si>
    <t>beside</t>
  </si>
  <si>
    <t>by</t>
  </si>
  <si>
    <t>down</t>
  </si>
  <si>
    <t>for</t>
  </si>
  <si>
    <t>here</t>
  </si>
  <si>
    <t>inside/in</t>
  </si>
  <si>
    <t>into</t>
  </si>
  <si>
    <t>next to</t>
  </si>
  <si>
    <t>of</t>
  </si>
  <si>
    <t>off</t>
  </si>
  <si>
    <t>on</t>
  </si>
  <si>
    <t>on top of</t>
  </si>
  <si>
    <t>out</t>
  </si>
  <si>
    <t>over</t>
  </si>
  <si>
    <t>there</t>
  </si>
  <si>
    <t>to</t>
  </si>
  <si>
    <t>under</t>
  </si>
  <si>
    <t>up</t>
  </si>
  <si>
    <t>with</t>
  </si>
  <si>
    <t>Quantifiers and Articles</t>
  </si>
  <si>
    <t>a</t>
  </si>
  <si>
    <t>all</t>
  </si>
  <si>
    <t>a lot</t>
  </si>
  <si>
    <t>an</t>
  </si>
  <si>
    <t>another</t>
  </si>
  <si>
    <t>any</t>
  </si>
  <si>
    <t>each</t>
  </si>
  <si>
    <t>every</t>
  </si>
  <si>
    <t>more</t>
  </si>
  <si>
    <t>much</t>
  </si>
  <si>
    <t>not</t>
  </si>
  <si>
    <t>none</t>
  </si>
  <si>
    <t>other</t>
  </si>
  <si>
    <t>same</t>
  </si>
  <si>
    <t>some</t>
  </si>
  <si>
    <t>the</t>
  </si>
  <si>
    <t>too</t>
  </si>
  <si>
    <t>Helping Verbs</t>
  </si>
  <si>
    <t>am</t>
  </si>
  <si>
    <t>are</t>
  </si>
  <si>
    <t>be</t>
  </si>
  <si>
    <t>could</t>
  </si>
  <si>
    <t>did/did ya</t>
  </si>
  <si>
    <t>do</t>
  </si>
  <si>
    <t>does</t>
  </si>
  <si>
    <t>don’t</t>
  </si>
  <si>
    <t>gonna/ going to</t>
  </si>
  <si>
    <t>gotta/ got to</t>
  </si>
  <si>
    <t>hafta/ have to</t>
  </si>
  <si>
    <t>is</t>
  </si>
  <si>
    <t>lemme/ let me</t>
  </si>
  <si>
    <t>need/ need to</t>
  </si>
  <si>
    <t xml:space="preserve"> try/ try to</t>
  </si>
  <si>
    <t xml:space="preserve"> wanna/ want to</t>
  </si>
  <si>
    <t>was</t>
  </si>
  <si>
    <t>were</t>
  </si>
  <si>
    <t>will</t>
  </si>
  <si>
    <t>would</t>
  </si>
  <si>
    <t>Connecting Words</t>
  </si>
  <si>
    <t>and</t>
  </si>
  <si>
    <t>because</t>
  </si>
  <si>
    <t>but</t>
  </si>
  <si>
    <t>if</t>
  </si>
  <si>
    <t>so</t>
  </si>
  <si>
    <t>then</t>
  </si>
  <si>
    <t>How Children Use Words</t>
  </si>
  <si>
    <t>Word Endings/Part 1</t>
  </si>
  <si>
    <t>Nouns</t>
  </si>
  <si>
    <t>children</t>
  </si>
  <si>
    <t>men</t>
  </si>
  <si>
    <t>mice</t>
  </si>
  <si>
    <t>teeth</t>
  </si>
  <si>
    <t>Verbs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</si>
  <si>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</si>
  <si>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</si>
  <si>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</si>
  <si>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</si>
  <si>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</si>
  <si>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</si>
  <si>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</si>
  <si>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</si>
  <si>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</si>
  <si>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</si>
  <si>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</si>
  <si>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</si>
  <si>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</si>
  <si>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</si>
  <si>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</si>
  <si>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</si>
  <si>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</si>
  <si>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</si>
  <si>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</si>
  <si>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</si>
  <si>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</si>
  <si>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childrens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</si>
  <si>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</si>
  <si>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</si>
  <si>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</si>
  <si>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</si>
  <si>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</si>
  <si>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</si>
  <si>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</si>
  <si>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</si>
  <si>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</si>
  <si>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</si>
  <si>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</si>
  <si>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</si>
  <si>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</si>
  <si>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</si>
  <si>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</si>
  <si>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</si>
  <si>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</si>
  <si>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</si>
  <si>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</si>
  <si>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</si>
  <si>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</si>
  <si>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</si>
  <si>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</si>
  <si>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</si>
  <si>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</si>
  <si>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</si>
  <si>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</si>
  <si>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</si>
  <si>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</si>
  <si>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</si>
  <si>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</si>
  <si>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</si>
  <si>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</si>
  <si>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</si>
  <si>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</si>
  <si>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</si>
  <si>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</si>
  <si>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</si>
  <si>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</si>
  <si>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</si>
  <si>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</si>
  <si>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</si>
  <si>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Has your child begun to combine words yet, such as "nother cracker" or "doggie bite"?</t>
  </si>
  <si>
    <t>Examples: List three of the longest sentences you have heard your child say recently.</t>
  </si>
  <si>
    <t>Complexity</t>
  </si>
  <si>
    <t>more cookies!</t>
  </si>
  <si>
    <t>more cookie!</t>
  </si>
  <si>
    <t>kitty went away.</t>
  </si>
  <si>
    <t>two shoe.</t>
  </si>
  <si>
    <t>two shoes.</t>
  </si>
  <si>
    <t>two foot.</t>
  </si>
  <si>
    <t>two feet.</t>
  </si>
  <si>
    <t>daddy car.</t>
  </si>
  <si>
    <t>daddy's car.</t>
  </si>
  <si>
    <t>kitty sleep.</t>
  </si>
  <si>
    <t>kitty sleeping.</t>
  </si>
  <si>
    <t>I make tower.</t>
  </si>
  <si>
    <t>I making tower.</t>
  </si>
  <si>
    <t>I fall down.</t>
  </si>
  <si>
    <t>I fell down.</t>
  </si>
  <si>
    <t>these my tooth.</t>
  </si>
  <si>
    <t>these my teeth.</t>
  </si>
  <si>
    <t>baby blanket.</t>
  </si>
  <si>
    <t>baby's blanket.</t>
  </si>
  <si>
    <t>doggie kiss me.</t>
  </si>
  <si>
    <t>doggie kissed me.</t>
  </si>
  <si>
    <t>daddy pick me up.</t>
  </si>
  <si>
    <t>daddy picked me up.</t>
  </si>
  <si>
    <t>kitty go away.</t>
  </si>
  <si>
    <t>doggie table.</t>
  </si>
  <si>
    <t>doggie on table.</t>
  </si>
  <si>
    <t>that my truck.</t>
  </si>
  <si>
    <t>that's my truck.</t>
  </si>
  <si>
    <t>baby crying.</t>
  </si>
  <si>
    <t>baby is crying.</t>
  </si>
  <si>
    <t>you fix it?</t>
  </si>
  <si>
    <t>can you fix it?</t>
  </si>
  <si>
    <t>read me story, mommy.</t>
  </si>
  <si>
    <t>read me a story, mommy.</t>
  </si>
  <si>
    <t>no wash dolly.</t>
  </si>
  <si>
    <t>don’t wash dolly.</t>
  </si>
  <si>
    <t>want more juice.</t>
  </si>
  <si>
    <t>want juice in there.</t>
  </si>
  <si>
    <t>there a kitty.</t>
  </si>
  <si>
    <t>theres a kitty.</t>
  </si>
  <si>
    <t>go bye-bye.</t>
  </si>
  <si>
    <t>wanna go bye-bye.</t>
  </si>
  <si>
    <t>where mommy go?</t>
  </si>
  <si>
    <t>where did my mommy go?</t>
  </si>
  <si>
    <t>coffee hot.</t>
  </si>
  <si>
    <t>that coffee hot.</t>
  </si>
  <si>
    <t>I no do it.</t>
  </si>
  <si>
    <t>I cant do it.</t>
  </si>
  <si>
    <t>I like read stories.</t>
  </si>
  <si>
    <t>I like to read stories.</t>
  </si>
  <si>
    <t>don’t read book.</t>
  </si>
  <si>
    <t>don’t want you read that book.</t>
  </si>
  <si>
    <t>turn on light.</t>
  </si>
  <si>
    <t>turn on the light so I can see.</t>
  </si>
  <si>
    <t>I want that.</t>
  </si>
  <si>
    <t>I want that one you got.</t>
  </si>
  <si>
    <t>want cookies.</t>
  </si>
  <si>
    <t>want cookies and milk.</t>
  </si>
  <si>
    <t>cookie mommy.</t>
  </si>
  <si>
    <t>cookie for mommy.</t>
  </si>
  <si>
    <t>baby want eat.</t>
  </si>
  <si>
    <t>baby want to eat.</t>
  </si>
  <si>
    <t>lookit me!</t>
  </si>
  <si>
    <t>lookit me dancing!</t>
  </si>
  <si>
    <t>lookit!</t>
  </si>
  <si>
    <t>lookit what I got!</t>
  </si>
  <si>
    <t>Where's my doly?</t>
  </si>
  <si>
    <t>Where's my dolly named Sam?</t>
  </si>
  <si>
    <t>We made this.</t>
  </si>
  <si>
    <t>Me and Paul made this.</t>
  </si>
  <si>
    <t>I sing song.</t>
  </si>
  <si>
    <t>I sing song for you.</t>
  </si>
  <si>
    <t>baby crying cuz she's sad.</t>
  </si>
  <si>
    <t>TOTAL</t>
  </si>
  <si>
    <t>ERROR?</t>
  </si>
  <si>
    <t>Intials</t>
  </si>
  <si>
    <t>initials</t>
  </si>
  <si>
    <t>1. past events</t>
  </si>
  <si>
    <t>2. future events</t>
  </si>
  <si>
    <t>3. not present</t>
  </si>
  <si>
    <t>4. ask not present</t>
  </si>
  <si>
    <t>5. absent person</t>
  </si>
  <si>
    <t>not yet</t>
  </si>
  <si>
    <t>sometimes</t>
  </si>
  <si>
    <t>often</t>
  </si>
  <si>
    <t>1. plural s</t>
  </si>
  <si>
    <t>2. ownership s</t>
  </si>
  <si>
    <t>3. activities -ing</t>
  </si>
  <si>
    <t>4. past -ed</t>
  </si>
  <si>
    <t>ERROR</t>
  </si>
  <si>
    <t>Example 1</t>
  </si>
  <si>
    <t>Example 2</t>
  </si>
  <si>
    <t>Example 3</t>
  </si>
  <si>
    <t>giraffe</t>
  </si>
  <si>
    <t>zebra</t>
  </si>
  <si>
    <t xml:space="preserve"> write</t>
  </si>
  <si>
    <t>A</t>
  </si>
  <si>
    <t>B</t>
  </si>
  <si>
    <t>nuts</t>
  </si>
  <si>
    <t>goed</t>
  </si>
  <si>
    <t>total</t>
  </si>
  <si>
    <t>notes</t>
  </si>
  <si>
    <t>Initials</t>
  </si>
  <si>
    <t>hard</t>
  </si>
  <si>
    <t>MF</t>
  </si>
  <si>
    <t>FIN_002</t>
  </si>
  <si>
    <t>FIN_03</t>
  </si>
  <si>
    <t>FIN_04</t>
  </si>
  <si>
    <t>FIN_05</t>
  </si>
  <si>
    <t>FIN_06</t>
  </si>
  <si>
    <t>FIN_07</t>
  </si>
  <si>
    <t>FIN_08</t>
  </si>
  <si>
    <t>FIN_09</t>
  </si>
  <si>
    <t>FIN_010</t>
  </si>
  <si>
    <t>FIN_01</t>
  </si>
  <si>
    <t>Mommy can we race the big yellow school bus today?</t>
  </si>
  <si>
    <t>I'm real hungry for my chicken and applesauce.</t>
  </si>
  <si>
    <t>We need to go to Grana's new house, with her new pantry and new trashcan, with the pedel the goes open and shut.</t>
  </si>
  <si>
    <t>R01ED400</t>
  </si>
  <si>
    <t>HDPM051</t>
  </si>
  <si>
    <t>HDPM052</t>
  </si>
  <si>
    <t>HDPM054</t>
  </si>
  <si>
    <t>HDPM056</t>
  </si>
  <si>
    <t>HDPM057</t>
  </si>
  <si>
    <t>HDPM058</t>
  </si>
  <si>
    <t>HDPM059</t>
  </si>
  <si>
    <t>HDPM061</t>
  </si>
  <si>
    <t>HDPM062</t>
  </si>
  <si>
    <t>HDPM063</t>
  </si>
  <si>
    <t>HDPM064</t>
  </si>
  <si>
    <t>HDPM065</t>
  </si>
  <si>
    <t>HDPM066</t>
  </si>
  <si>
    <t>HDPM060????</t>
  </si>
  <si>
    <t>HDPM068</t>
  </si>
  <si>
    <t>HDPM069</t>
  </si>
  <si>
    <t>HDPM070</t>
  </si>
  <si>
    <t>HDPM071</t>
  </si>
  <si>
    <t>HDPM072</t>
  </si>
  <si>
    <t>HDPM073</t>
  </si>
  <si>
    <t>HDPM074</t>
  </si>
  <si>
    <t>HDPM075</t>
  </si>
  <si>
    <t>HDPM076</t>
  </si>
  <si>
    <t>HDPM077</t>
  </si>
  <si>
    <t>HDPM078</t>
  </si>
  <si>
    <t>HDPM079</t>
  </si>
  <si>
    <t>HDPM080</t>
  </si>
  <si>
    <t>HDPM081</t>
  </si>
  <si>
    <t>HDPM082</t>
  </si>
  <si>
    <t>HDPM083</t>
  </si>
  <si>
    <t>HDPM084</t>
  </si>
  <si>
    <t>HDPM085</t>
  </si>
  <si>
    <t>HDPM086</t>
  </si>
  <si>
    <t>HDPM087</t>
  </si>
  <si>
    <t>HDPM088</t>
  </si>
  <si>
    <t>HDPM089</t>
  </si>
  <si>
    <t>HDPM090</t>
  </si>
  <si>
    <t>HDPM091</t>
  </si>
  <si>
    <t>HDPM092</t>
  </si>
  <si>
    <t>HDPM093</t>
  </si>
  <si>
    <t>HDPM094</t>
  </si>
  <si>
    <t>HDPM095</t>
  </si>
  <si>
    <t>HDPM096</t>
  </si>
  <si>
    <t>HDPM097</t>
  </si>
  <si>
    <t>HDPM098</t>
  </si>
  <si>
    <t>HDPM099</t>
  </si>
  <si>
    <t>HDPM100</t>
  </si>
  <si>
    <t>HDPM104</t>
  </si>
  <si>
    <t>HDPM105</t>
  </si>
  <si>
    <t>HDPM106</t>
  </si>
  <si>
    <t>HDPM110</t>
  </si>
  <si>
    <t>HDPM131</t>
  </si>
  <si>
    <t>HDPM132</t>
  </si>
  <si>
    <t>HDPM133</t>
  </si>
  <si>
    <t>HDPM134</t>
  </si>
  <si>
    <t>HDPM135</t>
  </si>
  <si>
    <t>HDPM136</t>
  </si>
  <si>
    <t>HDPM137</t>
  </si>
  <si>
    <t>HDPM138</t>
  </si>
  <si>
    <t>HDPM139</t>
  </si>
  <si>
    <t>HDPM140</t>
  </si>
  <si>
    <t>HDPM141</t>
  </si>
  <si>
    <t>HDPM151</t>
  </si>
  <si>
    <t>HDPM157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</si>
</sst>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0" fontId="2" fillId="0" borderId="0" xfId="0" applyFont="1" applyFill="1"/>
    <xf numFmtId="0" fontId="0" fillId="0" borderId="0" xfId="0" applyFill="1"/>
    <xf numFmtId="0" fontId="0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49" fontId="1" fillId="4" borderId="0" xfId="0" applyNumberFormat="1" applyFont="1" applyFill="1"/>
    <xf numFmtId="49" fontId="1" fillId="3" borderId="0" xfId="0" applyNumberFormat="1" applyFont="1" applyFill="1"/>
    <xf numFmtId="0" fontId="0" fillId="4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3" fillId="4" borderId="0" xfId="0" applyFont="1" applyFill="1"/>
    <xf numFmtId="0" fontId="4" fillId="4" borderId="0" xfId="0" applyFont="1" applyFill="1" applyAlignment="1">
      <alignment horizontal="center"/>
    </xf>
    <xf numFmtId="0" fontId="0" fillId="3" borderId="0" xfId="0" applyFill="1" applyBorder="1"/>
    <xf numFmtId="0" fontId="0" fillId="0" borderId="0" xfId="0" applyBorder="1"/>
    <xf numFmtId="49" fontId="4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Y18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ColWidth="8.42578125" defaultRowHeight="15" x14ac:dyDescent="0.25"/>
  <cols>
    <col min="1" max="1" width="37.85546875" style="1" bestFit="1" customWidth="1"/>
    <col min="2" max="3" width="11.140625" customWidth="1"/>
    <col min="4" max="181" width="11.5703125" customWidth="1"/>
    <col min="182" max="184" width="11.42578125" customWidth="1"/>
    <col min="185" max="187" width="12.7109375" customWidth="1"/>
    <col min="188" max="190" width="10.7109375" customWidth="1"/>
    <col min="191" max="193" width="11.42578125" customWidth="1"/>
    <col min="194" max="202" width="10.5703125" customWidth="1"/>
    <col min="203" max="205" width="10.7109375" customWidth="1"/>
  </cols>
  <sheetData>
    <row r="1" spans="1:181" s="13" customFormat="1" x14ac:dyDescent="0.25">
      <c r="A1" s="12" t="s">
        <v>89</v>
      </c>
    </row>
    <row r="2" spans="1:181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181" x14ac:dyDescent="0.25">
      <c r="A3" t="s">
        <v>1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1</v>
      </c>
    </row>
    <row r="4" spans="1:181" x14ac:dyDescent="0.25">
      <c r="A4" t="s">
        <v>2</v>
      </c>
      <c r="B4">
        <v>1</v>
      </c>
      <c r="C4">
        <v>1</v>
      </c>
      <c r="D4">
        <v>1</v>
      </c>
      <c r="E4">
        <v>0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1</v>
      </c>
      <c r="AE4">
        <v>1</v>
      </c>
      <c r="AF4">
        <v>0</v>
      </c>
      <c r="AG4">
        <v>1</v>
      </c>
      <c r="AH4">
        <v>0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1</v>
      </c>
    </row>
    <row r="5" spans="1:181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1</v>
      </c>
      <c r="AM5">
        <v>0</v>
      </c>
      <c r="AN5">
        <v>1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</row>
    <row r="6" spans="1:181" x14ac:dyDescent="0.25">
      <c r="A6" t="s">
        <v>4</v>
      </c>
      <c r="B6">
        <v>0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1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1</v>
      </c>
    </row>
    <row r="7" spans="1:181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1</v>
      </c>
      <c r="AC7">
        <v>0</v>
      </c>
      <c r="AD7">
        <v>1</v>
      </c>
      <c r="AE7">
        <v>1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0</v>
      </c>
      <c r="AX7">
        <v>0</v>
      </c>
      <c r="AY7">
        <v>1</v>
      </c>
      <c r="AZ7">
        <v>1</v>
      </c>
      <c r="BA7">
        <v>0</v>
      </c>
      <c r="BB7">
        <v>0</v>
      </c>
      <c r="BC7">
        <v>1</v>
      </c>
      <c r="BD7">
        <v>0</v>
      </c>
      <c r="BE7">
        <v>1</v>
      </c>
      <c r="BF7">
        <v>1</v>
      </c>
      <c r="BG7">
        <v>0</v>
      </c>
      <c r="BH7">
        <v>1</v>
      </c>
      <c r="BI7">
        <v>0</v>
      </c>
      <c r="BJ7">
        <v>0</v>
      </c>
      <c r="BK7">
        <v>0</v>
      </c>
      <c r="BL7">
        <v>1</v>
      </c>
      <c r="BM7">
        <v>1</v>
      </c>
    </row>
    <row r="8" spans="1:181" x14ac:dyDescent="0.25">
      <c r="A8" t="s">
        <v>6</v>
      </c>
      <c r="B8">
        <v>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0</v>
      </c>
      <c r="AD8">
        <v>1</v>
      </c>
      <c r="AE8">
        <v>1</v>
      </c>
      <c r="AF8">
        <v>1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0</v>
      </c>
      <c r="AQ8">
        <v>0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0</v>
      </c>
      <c r="BL8">
        <v>1</v>
      </c>
      <c r="BM8">
        <v>1</v>
      </c>
    </row>
    <row r="9" spans="1:181" x14ac:dyDescent="0.25">
      <c r="A9" t="s">
        <v>7</v>
      </c>
      <c r="B9">
        <v>1</v>
      </c>
      <c r="C9">
        <v>1</v>
      </c>
      <c r="D9">
        <v>0</v>
      </c>
      <c r="E9">
        <v>0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1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0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0</v>
      </c>
    </row>
    <row r="10" spans="1:181" x14ac:dyDescent="0.25">
      <c r="A10" t="s">
        <v>8</v>
      </c>
      <c r="B10">
        <v>1</v>
      </c>
      <c r="C10">
        <v>0</v>
      </c>
      <c r="D10">
        <v>0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1</v>
      </c>
      <c r="AA10">
        <v>0</v>
      </c>
      <c r="AB10">
        <v>1</v>
      </c>
      <c r="AC10">
        <v>1</v>
      </c>
      <c r="AD10">
        <v>0</v>
      </c>
      <c r="AE10">
        <v>1</v>
      </c>
      <c r="AF10">
        <v>0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</v>
      </c>
      <c r="BD10">
        <v>1</v>
      </c>
      <c r="BE10">
        <v>0</v>
      </c>
      <c r="BF10">
        <v>0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</row>
    <row r="11" spans="1:181" x14ac:dyDescent="0.25">
      <c r="A11" t="s">
        <v>9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1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1</v>
      </c>
    </row>
    <row r="12" spans="1:181" x14ac:dyDescent="0.25">
      <c r="A12" t="s">
        <v>10</v>
      </c>
      <c r="B12">
        <v>0</v>
      </c>
      <c r="C12">
        <v>1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1</v>
      </c>
    </row>
    <row r="13" spans="1:181" x14ac:dyDescent="0.25">
      <c r="A13" t="s">
        <v>11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1</v>
      </c>
      <c r="AO13">
        <v>1</v>
      </c>
      <c r="AP13">
        <v>1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0</v>
      </c>
      <c r="BH13">
        <v>1</v>
      </c>
      <c r="BI13">
        <v>1</v>
      </c>
      <c r="BJ13">
        <v>0</v>
      </c>
      <c r="BK13">
        <v>0</v>
      </c>
      <c r="BL13">
        <v>1</v>
      </c>
      <c r="BM13">
        <v>1</v>
      </c>
    </row>
    <row r="14" spans="1:181" x14ac:dyDescent="0.25">
      <c r="A14" t="s">
        <v>12</v>
      </c>
      <c r="B14">
        <v>1</v>
      </c>
      <c r="C14">
        <v>1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0</v>
      </c>
      <c r="AR14">
        <v>1</v>
      </c>
      <c r="AS14">
        <v>1</v>
      </c>
      <c r="AT14">
        <v>1</v>
      </c>
      <c r="AU14">
        <v>1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  <c r="BJ14">
        <v>1</v>
      </c>
      <c r="BK14">
        <v>0</v>
      </c>
      <c r="BL14">
        <v>1</v>
      </c>
      <c r="BM14">
        <v>0</v>
      </c>
    </row>
    <row r="15" spans="1:18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spans="1:181" x14ac:dyDescent="0.25">
      <c r="A16" s="1" t="s">
        <v>834</v>
      </c>
      <c r="B16">
        <f>SUM(B3:B14)</f>
        <v>7</v>
      </c>
      <c r="C16">
        <f t="shared" ref="C16:BM16" si="0">SUM(C3:C14)</f>
        <v>8</v>
      </c>
      <c r="D16">
        <f t="shared" si="0"/>
        <v>6</v>
      </c>
      <c r="E16">
        <f t="shared" si="0"/>
        <v>4</v>
      </c>
      <c r="F16">
        <f t="shared" si="0"/>
        <v>9</v>
      </c>
      <c r="G16">
        <f t="shared" si="0"/>
        <v>7</v>
      </c>
      <c r="H16">
        <f t="shared" si="0"/>
        <v>8</v>
      </c>
      <c r="I16">
        <f t="shared" si="0"/>
        <v>3</v>
      </c>
      <c r="J16">
        <f t="shared" si="0"/>
        <v>11</v>
      </c>
      <c r="K16">
        <f t="shared" si="0"/>
        <v>11</v>
      </c>
      <c r="L16">
        <f t="shared" si="0"/>
        <v>5</v>
      </c>
      <c r="M16">
        <f t="shared" si="0"/>
        <v>11</v>
      </c>
      <c r="N16">
        <f t="shared" si="0"/>
        <v>10</v>
      </c>
      <c r="O16">
        <f t="shared" si="0"/>
        <v>11</v>
      </c>
      <c r="P16">
        <f t="shared" si="0"/>
        <v>5</v>
      </c>
      <c r="Q16">
        <f t="shared" si="0"/>
        <v>5</v>
      </c>
      <c r="R16">
        <f t="shared" si="0"/>
        <v>7</v>
      </c>
      <c r="S16">
        <f t="shared" si="0"/>
        <v>11</v>
      </c>
      <c r="T16">
        <f t="shared" si="0"/>
        <v>12</v>
      </c>
      <c r="U16">
        <f t="shared" si="0"/>
        <v>8</v>
      </c>
      <c r="V16">
        <f t="shared" si="0"/>
        <v>11</v>
      </c>
      <c r="W16">
        <f t="shared" si="0"/>
        <v>10</v>
      </c>
      <c r="X16">
        <f t="shared" si="0"/>
        <v>6</v>
      </c>
      <c r="Y16">
        <f t="shared" si="0"/>
        <v>5</v>
      </c>
      <c r="Z16">
        <f t="shared" si="0"/>
        <v>8</v>
      </c>
      <c r="AA16">
        <f t="shared" si="0"/>
        <v>5</v>
      </c>
      <c r="AB16">
        <f t="shared" si="0"/>
        <v>9</v>
      </c>
      <c r="AC16">
        <f t="shared" si="0"/>
        <v>1</v>
      </c>
      <c r="AD16">
        <f t="shared" si="0"/>
        <v>10</v>
      </c>
      <c r="AE16">
        <f t="shared" si="0"/>
        <v>8</v>
      </c>
      <c r="AF16">
        <f t="shared" si="0"/>
        <v>4</v>
      </c>
      <c r="AG16">
        <f t="shared" si="0"/>
        <v>4</v>
      </c>
      <c r="AH16">
        <f t="shared" si="0"/>
        <v>3</v>
      </c>
      <c r="AI16">
        <f t="shared" si="0"/>
        <v>7</v>
      </c>
      <c r="AJ16">
        <f t="shared" si="0"/>
        <v>10</v>
      </c>
      <c r="AK16">
        <f t="shared" si="0"/>
        <v>12</v>
      </c>
      <c r="AL16">
        <f t="shared" si="0"/>
        <v>12</v>
      </c>
      <c r="AM16">
        <f t="shared" si="0"/>
        <v>9</v>
      </c>
      <c r="AN16">
        <f t="shared" si="0"/>
        <v>12</v>
      </c>
      <c r="AO16">
        <f t="shared" si="0"/>
        <v>10</v>
      </c>
      <c r="AP16">
        <f t="shared" si="0"/>
        <v>5</v>
      </c>
      <c r="AQ16">
        <f t="shared" si="0"/>
        <v>5</v>
      </c>
      <c r="AR16">
        <f t="shared" si="0"/>
        <v>11</v>
      </c>
      <c r="AS16">
        <f t="shared" si="0"/>
        <v>8</v>
      </c>
      <c r="AT16">
        <f t="shared" si="0"/>
        <v>8</v>
      </c>
      <c r="AU16">
        <f t="shared" si="0"/>
        <v>11</v>
      </c>
      <c r="AV16">
        <f t="shared" si="0"/>
        <v>9</v>
      </c>
      <c r="AW16">
        <f t="shared" si="0"/>
        <v>7</v>
      </c>
      <c r="AX16">
        <f t="shared" si="0"/>
        <v>2</v>
      </c>
      <c r="AY16">
        <f t="shared" si="0"/>
        <v>5</v>
      </c>
      <c r="AZ16">
        <f t="shared" si="0"/>
        <v>4</v>
      </c>
      <c r="BA16">
        <f t="shared" si="0"/>
        <v>5</v>
      </c>
      <c r="BB16">
        <f t="shared" si="0"/>
        <v>1</v>
      </c>
      <c r="BC16">
        <f t="shared" si="0"/>
        <v>7</v>
      </c>
      <c r="BD16">
        <f t="shared" si="0"/>
        <v>7</v>
      </c>
      <c r="BE16">
        <f t="shared" si="0"/>
        <v>5</v>
      </c>
      <c r="BF16">
        <f t="shared" si="0"/>
        <v>2</v>
      </c>
      <c r="BG16">
        <f t="shared" si="0"/>
        <v>1</v>
      </c>
      <c r="BH16">
        <f t="shared" si="0"/>
        <v>11</v>
      </c>
      <c r="BI16">
        <f t="shared" si="0"/>
        <v>4</v>
      </c>
      <c r="BJ16">
        <f t="shared" si="0"/>
        <v>3</v>
      </c>
      <c r="BK16">
        <f t="shared" si="0"/>
        <v>1</v>
      </c>
      <c r="BL16">
        <f t="shared" si="0"/>
        <v>12</v>
      </c>
      <c r="BM16">
        <f t="shared" si="0"/>
        <v>8</v>
      </c>
    </row>
    <row r="17" spans="1:1" x14ac:dyDescent="0.25">
      <c r="A17" s="1" t="s">
        <v>835</v>
      </c>
    </row>
    <row r="18" spans="1:1" x14ac:dyDescent="0.25">
      <c r="A18" s="1" t="s">
        <v>836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49"/>
  <sheetViews>
    <sheetView zoomScale="80" zoomScaleNormal="80" workbookViewId="0">
      <pane xSplit="1" ySplit="2" topLeftCell="B3" activePane="bottomRight" state="frozen"/>
      <selection activeCell="B4" sqref="B4"/>
      <selection pane="topRight" activeCell="B4" sqref="B4"/>
      <selection pane="bottomLeft" activeCell="B4" sqref="B4"/>
      <selection pane="bottomRight" activeCell="B1" sqref="B1"/>
    </sheetView>
  </sheetViews>
  <sheetFormatPr defaultColWidth="8.28515625" defaultRowHeight="15" x14ac:dyDescent="0.25"/>
  <cols>
    <col min="1" max="1" width="12.42578125" style="1" customWidth="1"/>
    <col min="2" max="37" width="11.28515625" customWidth="1"/>
    <col min="38" max="227" width="11.140625" customWidth="1"/>
  </cols>
  <sheetData>
    <row r="1" spans="1:80" s="13" customFormat="1" x14ac:dyDescent="0.25">
      <c r="A1" s="12" t="s">
        <v>88</v>
      </c>
    </row>
    <row r="2" spans="1:80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  <c r="CB2" s="15" t="s">
        <v>879</v>
      </c>
    </row>
    <row r="3" spans="1:80" x14ac:dyDescent="0.25">
      <c r="A3" s="1" t="s">
        <v>13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80" x14ac:dyDescent="0.25">
      <c r="A4" s="1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80" x14ac:dyDescent="0.25">
      <c r="A5" s="1" t="s">
        <v>15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80" x14ac:dyDescent="0.25">
      <c r="A6" s="1" t="s">
        <v>16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1</v>
      </c>
      <c r="AN6">
        <v>0</v>
      </c>
      <c r="AO6">
        <v>1</v>
      </c>
      <c r="AP6">
        <v>0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</row>
    <row r="7" spans="1:80" x14ac:dyDescent="0.25">
      <c r="A7" s="1" t="s">
        <v>17</v>
      </c>
      <c r="B7">
        <v>1</v>
      </c>
      <c r="C7">
        <v>0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80" x14ac:dyDescent="0.25">
      <c r="A8" s="1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  <c r="O8">
        <v>0</v>
      </c>
      <c r="P8">
        <v>1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  <c r="Z8">
        <v>1</v>
      </c>
      <c r="AA8">
        <v>0</v>
      </c>
      <c r="AB8">
        <v>1</v>
      </c>
      <c r="AC8">
        <v>1</v>
      </c>
      <c r="AD8">
        <v>1</v>
      </c>
      <c r="AE8">
        <v>1</v>
      </c>
      <c r="AF8">
        <v>1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0</v>
      </c>
    </row>
    <row r="9" spans="1:80" x14ac:dyDescent="0.25">
      <c r="A9" s="1" t="s">
        <v>19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80" x14ac:dyDescent="0.25">
      <c r="A10" s="1" t="s">
        <v>20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1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1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1</v>
      </c>
      <c r="BM10">
        <v>0</v>
      </c>
    </row>
    <row r="11" spans="1:80" x14ac:dyDescent="0.25">
      <c r="A11" s="1" t="s">
        <v>21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1</v>
      </c>
      <c r="BM11">
        <v>0</v>
      </c>
    </row>
    <row r="12" spans="1:80" x14ac:dyDescent="0.25">
      <c r="A12" s="1" t="s">
        <v>22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  <c r="Z12">
        <v>1</v>
      </c>
      <c r="AA12">
        <v>0</v>
      </c>
      <c r="AB12">
        <v>1</v>
      </c>
      <c r="AC12">
        <v>0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1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</v>
      </c>
      <c r="BL12">
        <v>1</v>
      </c>
      <c r="BM12">
        <v>0</v>
      </c>
    </row>
    <row r="13" spans="1:80" x14ac:dyDescent="0.25">
      <c r="A13" s="1" t="s">
        <v>23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0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0</v>
      </c>
    </row>
    <row r="14" spans="1:80" x14ac:dyDescent="0.25">
      <c r="A14" s="1" t="s">
        <v>24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1</v>
      </c>
      <c r="L14">
        <v>0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0</v>
      </c>
      <c r="AQ14">
        <v>1</v>
      </c>
      <c r="AR14">
        <v>1</v>
      </c>
      <c r="AS14">
        <v>0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1</v>
      </c>
    </row>
    <row r="15" spans="1:80" x14ac:dyDescent="0.25">
      <c r="A15" s="1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80" x14ac:dyDescent="0.25">
      <c r="A16" s="1" t="s">
        <v>26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1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1</v>
      </c>
      <c r="BA16">
        <v>1</v>
      </c>
      <c r="BB16">
        <v>0</v>
      </c>
      <c r="BC16">
        <v>1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  <c r="BJ16">
        <v>1</v>
      </c>
      <c r="BK16">
        <v>0</v>
      </c>
      <c r="BL16">
        <v>1</v>
      </c>
      <c r="BM16">
        <v>0</v>
      </c>
    </row>
    <row r="17" spans="1:65" x14ac:dyDescent="0.25">
      <c r="A17" s="1" t="s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28</v>
      </c>
      <c r="B18">
        <v>1</v>
      </c>
      <c r="C18">
        <v>0</v>
      </c>
      <c r="D18">
        <v>0</v>
      </c>
      <c r="E18">
        <v>1</v>
      </c>
      <c r="F18">
        <v>1</v>
      </c>
      <c r="G18">
        <v>1</v>
      </c>
      <c r="H18">
        <v>0</v>
      </c>
      <c r="I18">
        <v>1</v>
      </c>
      <c r="J18">
        <v>1</v>
      </c>
      <c r="K18">
        <v>0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1</v>
      </c>
      <c r="S18">
        <v>1</v>
      </c>
      <c r="T18">
        <v>1</v>
      </c>
      <c r="U18">
        <v>0</v>
      </c>
      <c r="V18">
        <v>1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0</v>
      </c>
    </row>
    <row r="19" spans="1:65" x14ac:dyDescent="0.25">
      <c r="A19" s="1" t="s">
        <v>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</v>
      </c>
      <c r="N19">
        <v>1</v>
      </c>
      <c r="O19">
        <v>1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1</v>
      </c>
      <c r="BM19">
        <v>0</v>
      </c>
    </row>
    <row r="20" spans="1:65" x14ac:dyDescent="0.25">
      <c r="A20" s="1" t="s">
        <v>30</v>
      </c>
      <c r="B20">
        <v>1</v>
      </c>
      <c r="C20">
        <v>0</v>
      </c>
      <c r="D20">
        <v>0</v>
      </c>
      <c r="E20">
        <v>1</v>
      </c>
      <c r="F20">
        <v>0</v>
      </c>
      <c r="G20">
        <v>1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1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1</v>
      </c>
      <c r="AP20">
        <v>1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1</v>
      </c>
      <c r="BM20">
        <v>0</v>
      </c>
    </row>
    <row r="21" spans="1:65" x14ac:dyDescent="0.25">
      <c r="A21" s="1" t="s">
        <v>31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1</v>
      </c>
      <c r="AD21">
        <v>1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1</v>
      </c>
      <c r="BM21">
        <v>1</v>
      </c>
    </row>
    <row r="22" spans="1:65" x14ac:dyDescent="0.25">
      <c r="A22" s="1" t="s">
        <v>854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</row>
    <row r="23" spans="1:65" x14ac:dyDescent="0.25">
      <c r="A23" s="1" t="s">
        <v>32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33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34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</row>
    <row r="26" spans="1:65" x14ac:dyDescent="0.25">
      <c r="A26" s="1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37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1</v>
      </c>
    </row>
    <row r="29" spans="1:65" x14ac:dyDescent="0.25">
      <c r="A29" s="1" t="s">
        <v>38</v>
      </c>
      <c r="B29">
        <v>1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0</v>
      </c>
      <c r="S29">
        <v>0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0</v>
      </c>
    </row>
    <row r="30" spans="1:65" x14ac:dyDescent="0.25">
      <c r="A30" s="1" t="s">
        <v>39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40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42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1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43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  <c r="R34">
        <v>1</v>
      </c>
      <c r="S34">
        <v>1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1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0</v>
      </c>
    </row>
    <row r="35" spans="1:65" x14ac:dyDescent="0.25">
      <c r="A35" s="1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45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1</v>
      </c>
      <c r="S36">
        <v>1</v>
      </c>
      <c r="T36">
        <v>1</v>
      </c>
      <c r="U36">
        <v>1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1</v>
      </c>
      <c r="AU36">
        <v>1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</row>
    <row r="37" spans="1:65" x14ac:dyDescent="0.25">
      <c r="A37" s="1" t="s">
        <v>46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47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1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1</v>
      </c>
      <c r="BM38">
        <v>0</v>
      </c>
    </row>
    <row r="39" spans="1:65" x14ac:dyDescent="0.25">
      <c r="A39" s="1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49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50</v>
      </c>
      <c r="B41">
        <v>1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1</v>
      </c>
      <c r="BM41">
        <v>0</v>
      </c>
    </row>
    <row r="42" spans="1:65" x14ac:dyDescent="0.25">
      <c r="A42" s="1" t="s">
        <v>51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52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0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855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</row>
    <row r="47" spans="1:65" x14ac:dyDescent="0.25">
      <c r="A47" s="1" t="s">
        <v>834</v>
      </c>
      <c r="B47">
        <f>SUM(B3:B45)</f>
        <v>25</v>
      </c>
      <c r="C47">
        <f t="shared" ref="C47:BM47" si="0">SUM(C3:C45)</f>
        <v>0</v>
      </c>
      <c r="D47">
        <f t="shared" si="0"/>
        <v>0</v>
      </c>
      <c r="E47">
        <f t="shared" si="0"/>
        <v>3</v>
      </c>
      <c r="F47">
        <f t="shared" si="0"/>
        <v>6</v>
      </c>
      <c r="G47">
        <f t="shared" si="0"/>
        <v>13</v>
      </c>
      <c r="H47">
        <f t="shared" si="0"/>
        <v>1</v>
      </c>
      <c r="I47">
        <f t="shared" si="0"/>
        <v>7</v>
      </c>
      <c r="J47">
        <f t="shared" si="0"/>
        <v>20</v>
      </c>
      <c r="K47">
        <f t="shared" si="0"/>
        <v>8</v>
      </c>
      <c r="L47">
        <f t="shared" si="0"/>
        <v>11</v>
      </c>
      <c r="M47">
        <f t="shared" si="0"/>
        <v>31</v>
      </c>
      <c r="N47">
        <f t="shared" si="0"/>
        <v>29</v>
      </c>
      <c r="O47">
        <f t="shared" si="0"/>
        <v>20</v>
      </c>
      <c r="P47">
        <f t="shared" si="0"/>
        <v>3</v>
      </c>
      <c r="Q47">
        <f t="shared" si="0"/>
        <v>3</v>
      </c>
      <c r="R47">
        <f t="shared" si="0"/>
        <v>13</v>
      </c>
      <c r="S47">
        <f t="shared" si="0"/>
        <v>15</v>
      </c>
      <c r="T47">
        <f t="shared" si="0"/>
        <v>36</v>
      </c>
      <c r="U47">
        <f t="shared" si="0"/>
        <v>14</v>
      </c>
      <c r="V47">
        <f t="shared" si="0"/>
        <v>21</v>
      </c>
      <c r="W47">
        <f t="shared" si="0"/>
        <v>11</v>
      </c>
      <c r="X47">
        <f t="shared" si="0"/>
        <v>2</v>
      </c>
      <c r="Y47">
        <f t="shared" si="0"/>
        <v>0</v>
      </c>
      <c r="Z47">
        <f t="shared" si="0"/>
        <v>21</v>
      </c>
      <c r="AA47">
        <f t="shared" si="0"/>
        <v>8</v>
      </c>
      <c r="AB47">
        <f t="shared" si="0"/>
        <v>14</v>
      </c>
      <c r="AC47">
        <f t="shared" si="0"/>
        <v>3</v>
      </c>
      <c r="AD47">
        <f t="shared" si="0"/>
        <v>9</v>
      </c>
      <c r="AE47">
        <f t="shared" si="0"/>
        <v>5</v>
      </c>
      <c r="AF47">
        <f t="shared" si="0"/>
        <v>3</v>
      </c>
      <c r="AG47">
        <f t="shared" si="0"/>
        <v>7</v>
      </c>
      <c r="AH47">
        <f t="shared" si="0"/>
        <v>3</v>
      </c>
      <c r="AI47">
        <f t="shared" si="0"/>
        <v>7</v>
      </c>
      <c r="AJ47">
        <f t="shared" si="0"/>
        <v>7</v>
      </c>
      <c r="AK47">
        <f>SUM(AK3:AK45)</f>
        <v>42</v>
      </c>
      <c r="AL47">
        <f t="shared" si="0"/>
        <v>27</v>
      </c>
      <c r="AM47">
        <f t="shared" si="0"/>
        <v>10</v>
      </c>
      <c r="AN47">
        <f t="shared" si="0"/>
        <v>0</v>
      </c>
      <c r="AO47">
        <f t="shared" si="0"/>
        <v>10</v>
      </c>
      <c r="AP47">
        <f t="shared" si="0"/>
        <v>4</v>
      </c>
      <c r="AQ47">
        <f t="shared" si="0"/>
        <v>15</v>
      </c>
      <c r="AR47">
        <f t="shared" si="0"/>
        <v>38</v>
      </c>
      <c r="AS47">
        <f t="shared" si="0"/>
        <v>10</v>
      </c>
      <c r="AT47">
        <f t="shared" si="0"/>
        <v>14</v>
      </c>
      <c r="AU47">
        <f t="shared" si="0"/>
        <v>37</v>
      </c>
      <c r="AV47">
        <f t="shared" si="0"/>
        <v>12</v>
      </c>
      <c r="AW47">
        <f t="shared" si="0"/>
        <v>0</v>
      </c>
      <c r="AX47">
        <f t="shared" si="0"/>
        <v>0</v>
      </c>
      <c r="AY47">
        <f t="shared" si="0"/>
        <v>3</v>
      </c>
      <c r="AZ47">
        <f t="shared" si="0"/>
        <v>1</v>
      </c>
      <c r="BA47">
        <f t="shared" si="0"/>
        <v>3</v>
      </c>
      <c r="BB47">
        <f t="shared" si="0"/>
        <v>0</v>
      </c>
      <c r="BC47">
        <f t="shared" si="0"/>
        <v>9</v>
      </c>
      <c r="BD47">
        <f t="shared" si="0"/>
        <v>13</v>
      </c>
      <c r="BE47">
        <f t="shared" si="0"/>
        <v>8</v>
      </c>
      <c r="BF47">
        <f t="shared" si="0"/>
        <v>0</v>
      </c>
      <c r="BG47">
        <f t="shared" si="0"/>
        <v>0</v>
      </c>
      <c r="BH47">
        <f t="shared" si="0"/>
        <v>29</v>
      </c>
      <c r="BI47">
        <f t="shared" si="0"/>
        <v>0</v>
      </c>
      <c r="BJ47">
        <f t="shared" si="0"/>
        <v>3</v>
      </c>
      <c r="BK47">
        <f t="shared" si="0"/>
        <v>2</v>
      </c>
      <c r="BL47">
        <f t="shared" si="0"/>
        <v>20</v>
      </c>
      <c r="BM47">
        <f t="shared" si="0"/>
        <v>3</v>
      </c>
    </row>
    <row r="48" spans="1:65" x14ac:dyDescent="0.25">
      <c r="A48" s="1" t="s">
        <v>835</v>
      </c>
    </row>
    <row r="49" spans="1:1" x14ac:dyDescent="0.25">
      <c r="A49" s="1" t="s">
        <v>837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zoomScale="80" zoomScaleNormal="80" workbookViewId="0">
      <pane xSplit="1" ySplit="2" topLeftCell="B3" activePane="bottomRight" state="frozen"/>
      <selection activeCell="B1" sqref="B1:BH1048576"/>
      <selection pane="topRight" activeCell="B1" sqref="B1:BH1048576"/>
      <selection pane="bottomLeft" activeCell="B1" sqref="B1:BH1048576"/>
      <selection pane="bottomRight" activeCell="B1" sqref="B1"/>
    </sheetView>
  </sheetViews>
  <sheetFormatPr defaultRowHeight="15" x14ac:dyDescent="0.25"/>
  <cols>
    <col min="1" max="1" width="12.42578125" style="1" customWidth="1"/>
    <col min="2" max="190" width="11.28515625" customWidth="1"/>
    <col min="191" max="191" width="11.28515625" bestFit="1" customWidth="1"/>
    <col min="192" max="193" width="11.28515625" customWidth="1"/>
    <col min="194" max="194" width="11.28515625" bestFit="1" customWidth="1"/>
    <col min="195" max="196" width="11.28515625" customWidth="1"/>
    <col min="197" max="197" width="11.28515625" bestFit="1" customWidth="1"/>
    <col min="198" max="199" width="11.28515625" customWidth="1"/>
    <col min="200" max="200" width="11.28515625" bestFit="1" customWidth="1"/>
    <col min="201" max="202" width="11.28515625" customWidth="1"/>
    <col min="203" max="203" width="11.28515625" bestFit="1" customWidth="1"/>
    <col min="204" max="205" width="11.28515625" customWidth="1"/>
    <col min="206" max="206" width="11.28515625" bestFit="1" customWidth="1"/>
    <col min="207" max="208" width="11.28515625" customWidth="1"/>
    <col min="209" max="209" width="11.28515625" bestFit="1" customWidth="1"/>
    <col min="210" max="229" width="11.28515625" customWidth="1"/>
    <col min="230" max="230" width="11.28515625" bestFit="1" customWidth="1"/>
    <col min="231" max="232" width="11.28515625" customWidth="1"/>
    <col min="233" max="233" width="11.28515625" bestFit="1" customWidth="1"/>
    <col min="234" max="235" width="11.28515625" customWidth="1"/>
    <col min="236" max="236" width="11.28515625" bestFit="1" customWidth="1"/>
    <col min="237" max="238" width="11.28515625" customWidth="1"/>
    <col min="239" max="239" width="11.28515625" bestFit="1" customWidth="1"/>
    <col min="240" max="241" width="11.28515625" customWidth="1"/>
    <col min="242" max="242" width="11.28515625" bestFit="1" customWidth="1"/>
    <col min="243" max="244" width="11.28515625" customWidth="1"/>
    <col min="245" max="245" width="11.28515625" bestFit="1" customWidth="1"/>
    <col min="246" max="247" width="11.28515625" customWidth="1"/>
    <col min="248" max="248" width="11.28515625" bestFit="1" customWidth="1"/>
    <col min="249" max="250" width="11.28515625" customWidth="1"/>
    <col min="251" max="251" width="11.28515625" bestFit="1" customWidth="1"/>
    <col min="252" max="253" width="11.28515625" customWidth="1"/>
    <col min="254" max="254" width="11.28515625" bestFit="1" customWidth="1"/>
    <col min="255" max="256" width="11.28515625" customWidth="1"/>
    <col min="257" max="257" width="11.28515625" bestFit="1" customWidth="1"/>
    <col min="258" max="259" width="11.28515625" customWidth="1"/>
    <col min="260" max="260" width="11.28515625" bestFit="1" customWidth="1"/>
    <col min="261" max="262" width="11.28515625" customWidth="1"/>
    <col min="263" max="263" width="11.28515625" bestFit="1" customWidth="1"/>
    <col min="264" max="265" width="11.28515625" customWidth="1"/>
    <col min="266" max="266" width="11.28515625" bestFit="1" customWidth="1"/>
    <col min="267" max="268" width="11.28515625" customWidth="1"/>
    <col min="269" max="282" width="11.28515625" bestFit="1" customWidth="1"/>
  </cols>
  <sheetData>
    <row r="1" spans="1:65" s="13" customFormat="1" x14ac:dyDescent="0.25">
      <c r="A1" s="12" t="s">
        <v>87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54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0</v>
      </c>
      <c r="AT3">
        <v>1</v>
      </c>
      <c r="AU3">
        <v>1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65" x14ac:dyDescent="0.25">
      <c r="A4" s="1" t="s">
        <v>55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1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56</v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1</v>
      </c>
      <c r="AR5">
        <v>1</v>
      </c>
      <c r="AS5">
        <v>0</v>
      </c>
      <c r="AT5">
        <v>1</v>
      </c>
      <c r="AU5">
        <v>1</v>
      </c>
      <c r="AV5">
        <v>1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1</v>
      </c>
      <c r="BM5">
        <v>0</v>
      </c>
    </row>
    <row r="6" spans="1:65" x14ac:dyDescent="0.25">
      <c r="A6" s="1" t="s">
        <v>57</v>
      </c>
      <c r="B6">
        <v>1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1</v>
      </c>
      <c r="AS6">
        <v>0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1</v>
      </c>
      <c r="BM6">
        <v>0</v>
      </c>
    </row>
    <row r="7" spans="1:65" x14ac:dyDescent="0.25">
      <c r="A7" s="1" t="s">
        <v>58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>
        <v>0</v>
      </c>
      <c r="AD7">
        <v>1</v>
      </c>
      <c r="AE7">
        <v>1</v>
      </c>
      <c r="AF7">
        <v>1</v>
      </c>
      <c r="AG7">
        <v>1</v>
      </c>
      <c r="AH7">
        <v>0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1</v>
      </c>
      <c r="BI7">
        <v>0</v>
      </c>
      <c r="BJ7">
        <v>0</v>
      </c>
      <c r="BK7">
        <v>1</v>
      </c>
      <c r="BL7">
        <v>1</v>
      </c>
      <c r="BM7">
        <v>1</v>
      </c>
    </row>
    <row r="8" spans="1:65" x14ac:dyDescent="0.25">
      <c r="A8" s="1" t="s">
        <v>59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</row>
    <row r="9" spans="1:65" x14ac:dyDescent="0.25">
      <c r="A9" s="1" t="s">
        <v>60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61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62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63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1</v>
      </c>
      <c r="BM12">
        <v>0</v>
      </c>
    </row>
    <row r="13" spans="1:65" x14ac:dyDescent="0.25">
      <c r="A13" s="1" t="s">
        <v>64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65</v>
      </c>
      <c r="B14">
        <v>1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1</v>
      </c>
      <c r="S14">
        <v>0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1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1</v>
      </c>
    </row>
    <row r="15" spans="1:65" x14ac:dyDescent="0.25">
      <c r="A15" s="1" t="s">
        <v>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67</v>
      </c>
      <c r="B16">
        <v>1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1</v>
      </c>
      <c r="K16">
        <v>0</v>
      </c>
      <c r="L16">
        <v>1</v>
      </c>
      <c r="M16">
        <v>1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1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1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1</v>
      </c>
      <c r="BM16">
        <v>0</v>
      </c>
    </row>
    <row r="17" spans="1:223" x14ac:dyDescent="0.25">
      <c r="HM17" s="10"/>
      <c r="HN17" s="10"/>
      <c r="HO17" s="10"/>
    </row>
    <row r="18" spans="1:223" x14ac:dyDescent="0.25">
      <c r="A18" s="1" t="s">
        <v>834</v>
      </c>
      <c r="B18">
        <f>SUM(B3:B16)</f>
        <v>9</v>
      </c>
      <c r="C18">
        <f t="shared" ref="C18:BM18" si="0">SUM(C3:C16)</f>
        <v>0</v>
      </c>
      <c r="D18">
        <f t="shared" si="0"/>
        <v>2</v>
      </c>
      <c r="E18">
        <f t="shared" si="0"/>
        <v>1</v>
      </c>
      <c r="F18">
        <f t="shared" si="0"/>
        <v>2</v>
      </c>
      <c r="G18">
        <f t="shared" si="0"/>
        <v>7</v>
      </c>
      <c r="H18">
        <f t="shared" si="0"/>
        <v>0</v>
      </c>
      <c r="I18">
        <f t="shared" si="0"/>
        <v>2</v>
      </c>
      <c r="J18">
        <f t="shared" si="0"/>
        <v>10</v>
      </c>
      <c r="K18">
        <f t="shared" si="0"/>
        <v>3</v>
      </c>
      <c r="L18">
        <f t="shared" si="0"/>
        <v>5</v>
      </c>
      <c r="M18">
        <f t="shared" si="0"/>
        <v>10</v>
      </c>
      <c r="N18">
        <f t="shared" si="0"/>
        <v>7</v>
      </c>
      <c r="O18">
        <f t="shared" si="0"/>
        <v>6</v>
      </c>
      <c r="P18">
        <f t="shared" si="0"/>
        <v>1</v>
      </c>
      <c r="Q18">
        <f t="shared" si="0"/>
        <v>1</v>
      </c>
      <c r="R18">
        <f t="shared" si="0"/>
        <v>9</v>
      </c>
      <c r="S18">
        <f t="shared" si="0"/>
        <v>3</v>
      </c>
      <c r="T18">
        <f t="shared" si="0"/>
        <v>12</v>
      </c>
      <c r="U18">
        <f t="shared" si="0"/>
        <v>6</v>
      </c>
      <c r="V18">
        <f t="shared" si="0"/>
        <v>5</v>
      </c>
      <c r="W18">
        <f t="shared" si="0"/>
        <v>3</v>
      </c>
      <c r="X18">
        <f t="shared" si="0"/>
        <v>0</v>
      </c>
      <c r="Y18">
        <f t="shared" si="0"/>
        <v>0</v>
      </c>
      <c r="Z18">
        <f t="shared" si="0"/>
        <v>2</v>
      </c>
      <c r="AA18">
        <f t="shared" si="0"/>
        <v>3</v>
      </c>
      <c r="AB18">
        <f t="shared" si="0"/>
        <v>3</v>
      </c>
      <c r="AC18">
        <f t="shared" si="0"/>
        <v>0</v>
      </c>
      <c r="AD18">
        <f t="shared" si="0"/>
        <v>4</v>
      </c>
      <c r="AE18">
        <f t="shared" si="0"/>
        <v>6</v>
      </c>
      <c r="AF18">
        <f t="shared" si="0"/>
        <v>3</v>
      </c>
      <c r="AG18">
        <f t="shared" si="0"/>
        <v>1</v>
      </c>
      <c r="AH18">
        <f t="shared" si="0"/>
        <v>0</v>
      </c>
      <c r="AI18">
        <f t="shared" si="0"/>
        <v>5</v>
      </c>
      <c r="AJ18">
        <f t="shared" si="0"/>
        <v>2</v>
      </c>
      <c r="AK18">
        <f t="shared" si="0"/>
        <v>13</v>
      </c>
      <c r="AL18">
        <f t="shared" si="0"/>
        <v>10</v>
      </c>
      <c r="AM18">
        <f t="shared" si="0"/>
        <v>3</v>
      </c>
      <c r="AN18">
        <f t="shared" si="0"/>
        <v>1</v>
      </c>
      <c r="AO18">
        <f t="shared" si="0"/>
        <v>3</v>
      </c>
      <c r="AP18">
        <f t="shared" si="0"/>
        <v>6</v>
      </c>
      <c r="AQ18">
        <f t="shared" si="0"/>
        <v>6</v>
      </c>
      <c r="AR18">
        <f t="shared" si="0"/>
        <v>11</v>
      </c>
      <c r="AS18">
        <f t="shared" si="0"/>
        <v>2</v>
      </c>
      <c r="AT18">
        <f t="shared" si="0"/>
        <v>4</v>
      </c>
      <c r="AU18">
        <f t="shared" si="0"/>
        <v>12</v>
      </c>
      <c r="AV18">
        <f t="shared" si="0"/>
        <v>8</v>
      </c>
      <c r="AW18">
        <f t="shared" si="0"/>
        <v>1</v>
      </c>
      <c r="AX18">
        <f t="shared" si="0"/>
        <v>0</v>
      </c>
      <c r="AY18">
        <f t="shared" si="0"/>
        <v>1</v>
      </c>
      <c r="AZ18">
        <f t="shared" si="0"/>
        <v>0</v>
      </c>
      <c r="BA18">
        <f t="shared" si="0"/>
        <v>2</v>
      </c>
      <c r="BB18">
        <f t="shared" si="0"/>
        <v>0</v>
      </c>
      <c r="BC18">
        <f t="shared" si="0"/>
        <v>1</v>
      </c>
      <c r="BD18">
        <f t="shared" si="0"/>
        <v>3</v>
      </c>
      <c r="BE18">
        <f t="shared" si="0"/>
        <v>2</v>
      </c>
      <c r="BF18">
        <f t="shared" si="0"/>
        <v>0</v>
      </c>
      <c r="BG18">
        <f t="shared" si="0"/>
        <v>0</v>
      </c>
      <c r="BH18">
        <f t="shared" si="0"/>
        <v>6</v>
      </c>
      <c r="BI18">
        <f t="shared" si="0"/>
        <v>0</v>
      </c>
      <c r="BJ18">
        <f t="shared" si="0"/>
        <v>1</v>
      </c>
      <c r="BK18">
        <f t="shared" si="0"/>
        <v>2</v>
      </c>
      <c r="BL18">
        <f t="shared" si="0"/>
        <v>8</v>
      </c>
      <c r="BM18">
        <f t="shared" si="0"/>
        <v>2</v>
      </c>
    </row>
    <row r="19" spans="1:223" x14ac:dyDescent="0.25">
      <c r="A19" s="1" t="s">
        <v>835</v>
      </c>
      <c r="HM19" s="10"/>
      <c r="HN19" s="10"/>
      <c r="HO19" s="10"/>
    </row>
    <row r="20" spans="1:223" x14ac:dyDescent="0.25">
      <c r="A20" s="1" t="s">
        <v>837</v>
      </c>
      <c r="HM20" s="10"/>
      <c r="HN20" s="10"/>
      <c r="HO20" s="10"/>
    </row>
    <row r="22" spans="1:223" s="13" customFormat="1" x14ac:dyDescent="0.25">
      <c r="A22" s="12" t="s">
        <v>68</v>
      </c>
    </row>
    <row r="23" spans="1:223" s="15" customFormat="1" x14ac:dyDescent="0.25">
      <c r="A23" s="15" t="s">
        <v>0</v>
      </c>
      <c r="B23" s="15" t="s">
        <v>880</v>
      </c>
      <c r="C23" s="15" t="s">
        <v>881</v>
      </c>
      <c r="D23" s="15" t="s">
        <v>882</v>
      </c>
      <c r="E23" s="15" t="s">
        <v>883</v>
      </c>
      <c r="F23" s="15" t="s">
        <v>884</v>
      </c>
      <c r="G23" s="15" t="s">
        <v>885</v>
      </c>
      <c r="H23" s="15" t="s">
        <v>886</v>
      </c>
      <c r="I23" s="15" t="s">
        <v>893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  <c r="BF23" s="15" t="s">
        <v>936</v>
      </c>
      <c r="BG23" s="15" t="s">
        <v>937</v>
      </c>
      <c r="BH23" s="15" t="s">
        <v>938</v>
      </c>
      <c r="BI23" s="15" t="s">
        <v>939</v>
      </c>
      <c r="BJ23" s="15" t="s">
        <v>940</v>
      </c>
      <c r="BK23" s="15" t="s">
        <v>941</v>
      </c>
      <c r="BL23" s="15" t="s">
        <v>942</v>
      </c>
      <c r="BM23" s="15" t="s">
        <v>943</v>
      </c>
    </row>
    <row r="24" spans="1:223" x14ac:dyDescent="0.25">
      <c r="A24" s="1" t="s">
        <v>69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</row>
    <row r="25" spans="1:223" x14ac:dyDescent="0.25">
      <c r="A25" s="1" t="s">
        <v>70</v>
      </c>
      <c r="B25">
        <v>1</v>
      </c>
      <c r="C25">
        <v>0</v>
      </c>
      <c r="D25">
        <v>1</v>
      </c>
      <c r="E25">
        <v>1</v>
      </c>
      <c r="F25">
        <v>0</v>
      </c>
      <c r="G25">
        <v>1</v>
      </c>
      <c r="H25">
        <v>0</v>
      </c>
      <c r="I25">
        <v>1</v>
      </c>
      <c r="J25">
        <v>1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1</v>
      </c>
      <c r="AM25">
        <v>0</v>
      </c>
      <c r="AN25">
        <v>1</v>
      </c>
      <c r="AO25">
        <v>1</v>
      </c>
      <c r="AP25">
        <v>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</v>
      </c>
    </row>
    <row r="26" spans="1:223" x14ac:dyDescent="0.25">
      <c r="A26" s="1" t="s">
        <v>71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223" x14ac:dyDescent="0.25">
      <c r="A27" s="1" t="s">
        <v>72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</row>
    <row r="28" spans="1:223" x14ac:dyDescent="0.25">
      <c r="A28" s="1" t="s">
        <v>73</v>
      </c>
      <c r="B28">
        <v>1</v>
      </c>
      <c r="C28">
        <v>0</v>
      </c>
      <c r="D28">
        <v>1</v>
      </c>
      <c r="E28">
        <v>0</v>
      </c>
      <c r="F28">
        <v>0</v>
      </c>
      <c r="G28">
        <v>1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  <c r="Z28">
        <v>1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1</v>
      </c>
      <c r="AP28">
        <v>0</v>
      </c>
      <c r="AQ28">
        <v>1</v>
      </c>
      <c r="AR28">
        <v>1</v>
      </c>
      <c r="AS28">
        <v>0</v>
      </c>
      <c r="AT28">
        <v>1</v>
      </c>
      <c r="AU28">
        <v>1</v>
      </c>
      <c r="AV28">
        <v>1</v>
      </c>
      <c r="AW28">
        <v>0</v>
      </c>
      <c r="AX28">
        <v>0</v>
      </c>
      <c r="AY28">
        <v>1</v>
      </c>
      <c r="AZ28">
        <v>1</v>
      </c>
      <c r="BA28">
        <v>1</v>
      </c>
      <c r="BB28">
        <v>0</v>
      </c>
      <c r="BC28">
        <v>1</v>
      </c>
      <c r="BD28">
        <v>1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1</v>
      </c>
      <c r="BK28">
        <v>1</v>
      </c>
      <c r="BL28">
        <v>1</v>
      </c>
      <c r="BM28">
        <v>0</v>
      </c>
    </row>
    <row r="29" spans="1:223" x14ac:dyDescent="0.25">
      <c r="A29" s="1" t="s">
        <v>74</v>
      </c>
      <c r="B29">
        <v>1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0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1</v>
      </c>
      <c r="AI29">
        <v>0</v>
      </c>
      <c r="AJ29">
        <v>1</v>
      </c>
      <c r="AK29">
        <v>1</v>
      </c>
      <c r="AL29">
        <v>1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0</v>
      </c>
      <c r="AX29">
        <v>0</v>
      </c>
      <c r="AY29">
        <v>1</v>
      </c>
      <c r="AZ29">
        <v>0</v>
      </c>
      <c r="BA29">
        <v>1</v>
      </c>
      <c r="BB29">
        <v>0</v>
      </c>
      <c r="BC29">
        <v>1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0</v>
      </c>
    </row>
    <row r="30" spans="1:223" x14ac:dyDescent="0.25">
      <c r="A30" s="1" t="s">
        <v>75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223" x14ac:dyDescent="0.25">
      <c r="A31" s="1" t="s">
        <v>76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</row>
    <row r="32" spans="1:223" x14ac:dyDescent="0.25">
      <c r="A32" s="1" t="s">
        <v>77</v>
      </c>
      <c r="B32">
        <v>1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223" x14ac:dyDescent="0.25">
      <c r="A33" s="1" t="s">
        <v>78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223" x14ac:dyDescent="0.25">
      <c r="A34" s="1" t="s">
        <v>79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223" x14ac:dyDescent="0.25">
      <c r="A35" s="1" t="s">
        <v>80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223" x14ac:dyDescent="0.25">
      <c r="A36" s="1" t="s">
        <v>81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223" x14ac:dyDescent="0.25">
      <c r="A37" s="1" t="s">
        <v>82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223" x14ac:dyDescent="0.25">
      <c r="A38" s="1" t="s">
        <v>83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223" x14ac:dyDescent="0.25">
      <c r="A39" s="1" t="s">
        <v>84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>
        <v>1</v>
      </c>
      <c r="BM39">
        <v>0</v>
      </c>
    </row>
    <row r="40" spans="1:223" x14ac:dyDescent="0.25">
      <c r="A40" s="1" t="s">
        <v>85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0</v>
      </c>
    </row>
    <row r="41" spans="1:223" x14ac:dyDescent="0.25">
      <c r="A41" s="1" t="s">
        <v>86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1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1</v>
      </c>
      <c r="BL41">
        <v>1</v>
      </c>
      <c r="BM41">
        <v>0</v>
      </c>
    </row>
    <row r="42" spans="1:223" x14ac:dyDescent="0.25">
      <c r="Q42" s="8"/>
      <c r="R42" s="8"/>
      <c r="S42" s="8"/>
      <c r="HM42" s="10"/>
      <c r="HN42" s="10"/>
      <c r="HO42" s="10"/>
    </row>
    <row r="43" spans="1:223" x14ac:dyDescent="0.25">
      <c r="A43" s="1" t="s">
        <v>834</v>
      </c>
      <c r="B43">
        <f>SUM(B24:B41)</f>
        <v>11</v>
      </c>
      <c r="C43">
        <f t="shared" ref="C43:BM43" si="1">SUM(C24:C41)</f>
        <v>1</v>
      </c>
      <c r="D43">
        <f t="shared" si="1"/>
        <v>4</v>
      </c>
      <c r="E43">
        <f t="shared" si="1"/>
        <v>3</v>
      </c>
      <c r="F43">
        <f t="shared" si="1"/>
        <v>1</v>
      </c>
      <c r="G43">
        <f t="shared" si="1"/>
        <v>4</v>
      </c>
      <c r="H43">
        <f t="shared" si="1"/>
        <v>0</v>
      </c>
      <c r="I43">
        <f t="shared" si="1"/>
        <v>3</v>
      </c>
      <c r="J43">
        <f t="shared" si="1"/>
        <v>14</v>
      </c>
      <c r="K43">
        <f t="shared" si="1"/>
        <v>5</v>
      </c>
      <c r="L43">
        <f t="shared" si="1"/>
        <v>6</v>
      </c>
      <c r="M43">
        <f t="shared" si="1"/>
        <v>12</v>
      </c>
      <c r="N43">
        <f t="shared" si="1"/>
        <v>8</v>
      </c>
      <c r="O43">
        <f t="shared" si="1"/>
        <v>5</v>
      </c>
      <c r="P43">
        <f t="shared" si="1"/>
        <v>3</v>
      </c>
      <c r="Q43">
        <f t="shared" si="1"/>
        <v>3</v>
      </c>
      <c r="R43">
        <f t="shared" si="1"/>
        <v>11</v>
      </c>
      <c r="S43">
        <f t="shared" si="1"/>
        <v>5</v>
      </c>
      <c r="T43">
        <f t="shared" si="1"/>
        <v>17</v>
      </c>
      <c r="U43">
        <f t="shared" si="1"/>
        <v>10</v>
      </c>
      <c r="V43">
        <f t="shared" si="1"/>
        <v>7</v>
      </c>
      <c r="W43">
        <f t="shared" si="1"/>
        <v>5</v>
      </c>
      <c r="X43">
        <f t="shared" si="1"/>
        <v>1</v>
      </c>
      <c r="Y43">
        <f t="shared" si="1"/>
        <v>1</v>
      </c>
      <c r="Z43">
        <f t="shared" si="1"/>
        <v>4</v>
      </c>
      <c r="AA43">
        <f t="shared" si="1"/>
        <v>5</v>
      </c>
      <c r="AB43">
        <f t="shared" si="1"/>
        <v>4</v>
      </c>
      <c r="AC43">
        <f t="shared" si="1"/>
        <v>1</v>
      </c>
      <c r="AD43">
        <f t="shared" si="1"/>
        <v>4</v>
      </c>
      <c r="AE43">
        <f t="shared" si="1"/>
        <v>6</v>
      </c>
      <c r="AF43">
        <f t="shared" si="1"/>
        <v>2</v>
      </c>
      <c r="AG43">
        <f t="shared" si="1"/>
        <v>3</v>
      </c>
      <c r="AH43">
        <f t="shared" si="1"/>
        <v>2</v>
      </c>
      <c r="AI43">
        <f t="shared" si="1"/>
        <v>4</v>
      </c>
      <c r="AJ43">
        <f t="shared" si="1"/>
        <v>3</v>
      </c>
      <c r="AK43">
        <f t="shared" si="1"/>
        <v>18</v>
      </c>
      <c r="AL43">
        <f t="shared" si="1"/>
        <v>9</v>
      </c>
      <c r="AM43">
        <f t="shared" si="1"/>
        <v>4</v>
      </c>
      <c r="AN43">
        <f t="shared" si="1"/>
        <v>1</v>
      </c>
      <c r="AO43">
        <f t="shared" si="1"/>
        <v>5</v>
      </c>
      <c r="AP43">
        <f t="shared" si="1"/>
        <v>2</v>
      </c>
      <c r="AQ43">
        <f t="shared" si="1"/>
        <v>10</v>
      </c>
      <c r="AR43">
        <f t="shared" si="1"/>
        <v>15</v>
      </c>
      <c r="AS43">
        <f t="shared" si="1"/>
        <v>5</v>
      </c>
      <c r="AT43">
        <f t="shared" si="1"/>
        <v>5</v>
      </c>
      <c r="AU43">
        <f t="shared" si="1"/>
        <v>14</v>
      </c>
      <c r="AV43">
        <f t="shared" si="1"/>
        <v>4</v>
      </c>
      <c r="AW43">
        <f t="shared" si="1"/>
        <v>1</v>
      </c>
      <c r="AX43">
        <f t="shared" si="1"/>
        <v>1</v>
      </c>
      <c r="AY43">
        <f t="shared" si="1"/>
        <v>3</v>
      </c>
      <c r="AZ43">
        <f t="shared" si="1"/>
        <v>3</v>
      </c>
      <c r="BA43">
        <f t="shared" si="1"/>
        <v>4</v>
      </c>
      <c r="BB43">
        <f t="shared" si="1"/>
        <v>0</v>
      </c>
      <c r="BC43">
        <f t="shared" si="1"/>
        <v>3</v>
      </c>
      <c r="BD43">
        <f t="shared" si="1"/>
        <v>7</v>
      </c>
      <c r="BE43">
        <f t="shared" si="1"/>
        <v>1</v>
      </c>
      <c r="BF43">
        <f t="shared" si="1"/>
        <v>0</v>
      </c>
      <c r="BG43">
        <f t="shared" si="1"/>
        <v>1</v>
      </c>
      <c r="BH43">
        <f t="shared" si="1"/>
        <v>9</v>
      </c>
      <c r="BI43">
        <f t="shared" si="1"/>
        <v>2</v>
      </c>
      <c r="BJ43">
        <f t="shared" si="1"/>
        <v>3</v>
      </c>
      <c r="BK43">
        <f t="shared" si="1"/>
        <v>5</v>
      </c>
      <c r="BL43">
        <f t="shared" si="1"/>
        <v>8</v>
      </c>
      <c r="BM43">
        <f t="shared" si="1"/>
        <v>1</v>
      </c>
    </row>
    <row r="44" spans="1:223" x14ac:dyDescent="0.25">
      <c r="A44" s="1" t="s">
        <v>835</v>
      </c>
      <c r="HM44" s="10"/>
      <c r="HN44" s="10"/>
      <c r="HO44" s="10"/>
    </row>
    <row r="45" spans="1:223" x14ac:dyDescent="0.25">
      <c r="A45" s="1" t="s">
        <v>837</v>
      </c>
      <c r="HM45" s="10"/>
      <c r="HN45" s="10"/>
      <c r="HO45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7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.7109375" style="1" bestFit="1" customWidth="1"/>
    <col min="2" max="134" width="11.28515625" customWidth="1"/>
    <col min="135" max="164" width="11.28515625" bestFit="1" customWidth="1"/>
  </cols>
  <sheetData>
    <row r="1" spans="1:65" s="13" customFormat="1" x14ac:dyDescent="0.25">
      <c r="A1" s="12" t="s">
        <v>90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91</v>
      </c>
      <c r="B3">
        <v>1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</row>
    <row r="4" spans="1:65" x14ac:dyDescent="0.25">
      <c r="A4" s="1" t="s">
        <v>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0</v>
      </c>
    </row>
    <row r="5" spans="1:65" x14ac:dyDescent="0.25">
      <c r="A5" s="1" t="s">
        <v>93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1</v>
      </c>
      <c r="AM5">
        <v>1</v>
      </c>
      <c r="AN5">
        <v>0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1</v>
      </c>
      <c r="BD5">
        <v>1</v>
      </c>
      <c r="BE5">
        <v>1</v>
      </c>
      <c r="BF5">
        <v>0</v>
      </c>
      <c r="BG5">
        <v>0</v>
      </c>
      <c r="BH5">
        <v>1</v>
      </c>
      <c r="BI5">
        <v>0</v>
      </c>
      <c r="BJ5">
        <v>0</v>
      </c>
      <c r="BK5">
        <v>1</v>
      </c>
      <c r="BL5">
        <v>1</v>
      </c>
      <c r="BM5">
        <v>0</v>
      </c>
    </row>
    <row r="6" spans="1:65" x14ac:dyDescent="0.25">
      <c r="A6" s="1" t="s">
        <v>94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95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1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0</v>
      </c>
    </row>
    <row r="8" spans="1:65" x14ac:dyDescent="0.25">
      <c r="A8" s="1" t="s">
        <v>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>
        <v>1</v>
      </c>
      <c r="BM8">
        <v>0</v>
      </c>
    </row>
    <row r="9" spans="1:65" x14ac:dyDescent="0.25">
      <c r="A9" s="1" t="s">
        <v>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1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98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99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</row>
    <row r="12" spans="1:65" x14ac:dyDescent="0.25">
      <c r="A12" s="1" t="s">
        <v>100</v>
      </c>
      <c r="B12">
        <v>0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0</v>
      </c>
    </row>
    <row r="13" spans="1:65" x14ac:dyDescent="0.25">
      <c r="A13" s="1" t="s">
        <v>101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</row>
    <row r="14" spans="1:65" x14ac:dyDescent="0.25">
      <c r="A14" s="1" t="s">
        <v>102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1</v>
      </c>
      <c r="BI14">
        <v>1</v>
      </c>
      <c r="BJ14">
        <v>0</v>
      </c>
      <c r="BK14">
        <v>0</v>
      </c>
      <c r="BL14">
        <v>1</v>
      </c>
      <c r="BM14">
        <v>0</v>
      </c>
    </row>
    <row r="15" spans="1:65" x14ac:dyDescent="0.25">
      <c r="A15" s="1" t="s">
        <v>23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1</v>
      </c>
      <c r="BM15">
        <v>0</v>
      </c>
    </row>
    <row r="16" spans="1:65" x14ac:dyDescent="0.25">
      <c r="A16" s="1" t="s">
        <v>103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104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105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</row>
    <row r="19" spans="1:65" x14ac:dyDescent="0.25">
      <c r="A19" s="1" t="s">
        <v>106</v>
      </c>
      <c r="B19">
        <v>1</v>
      </c>
      <c r="C19">
        <v>0</v>
      </c>
      <c r="D19">
        <v>1</v>
      </c>
      <c r="E19">
        <v>1</v>
      </c>
      <c r="F19">
        <v>0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1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1</v>
      </c>
      <c r="BI19">
        <v>1</v>
      </c>
      <c r="BJ19">
        <v>1</v>
      </c>
      <c r="BK19">
        <v>1</v>
      </c>
      <c r="BL19">
        <v>0</v>
      </c>
      <c r="BM19">
        <v>0</v>
      </c>
    </row>
    <row r="20" spans="1:65" x14ac:dyDescent="0.25">
      <c r="A20" s="1" t="s">
        <v>107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0</v>
      </c>
    </row>
    <row r="21" spans="1:65" x14ac:dyDescent="0.25">
      <c r="A21" s="1" t="s">
        <v>108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1</v>
      </c>
      <c r="AS21">
        <v>0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1</v>
      </c>
      <c r="BM21">
        <v>0</v>
      </c>
    </row>
    <row r="22" spans="1:65" x14ac:dyDescent="0.25">
      <c r="A22" s="1" t="s">
        <v>109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</row>
    <row r="23" spans="1:65" x14ac:dyDescent="0.25">
      <c r="A23" s="1" t="s">
        <v>428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110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30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1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1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0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</row>
    <row r="26" spans="1:65" x14ac:dyDescent="0.25">
      <c r="A26" s="1" t="s">
        <v>111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112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0</v>
      </c>
    </row>
    <row r="28" spans="1:65" x14ac:dyDescent="0.25">
      <c r="A28" s="1" t="s">
        <v>113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</row>
    <row r="29" spans="1:65" x14ac:dyDescent="0.25">
      <c r="A29" s="1" t="s">
        <v>114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115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116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117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</row>
    <row r="33" spans="1:65" x14ac:dyDescent="0.25">
      <c r="A33" s="1" t="s">
        <v>118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0</v>
      </c>
      <c r="Q33">
        <v>0</v>
      </c>
      <c r="R33">
        <v>1</v>
      </c>
      <c r="S33">
        <v>1</v>
      </c>
      <c r="T33">
        <v>1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119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</row>
    <row r="35" spans="1:65" x14ac:dyDescent="0.25">
      <c r="A35" s="1" t="s">
        <v>120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121</v>
      </c>
      <c r="B36">
        <v>1</v>
      </c>
      <c r="C36">
        <v>1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1</v>
      </c>
      <c r="AB36">
        <v>1</v>
      </c>
      <c r="AC36">
        <v>0</v>
      </c>
      <c r="AD36">
        <v>1</v>
      </c>
      <c r="AE36">
        <v>1</v>
      </c>
      <c r="AF36">
        <v>1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0</v>
      </c>
      <c r="AT36">
        <v>1</v>
      </c>
      <c r="AU36">
        <v>1</v>
      </c>
      <c r="AV36">
        <v>1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</row>
    <row r="37" spans="1:65" x14ac:dyDescent="0.25">
      <c r="A37" s="1" t="s">
        <v>122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1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</row>
    <row r="38" spans="1:65" x14ac:dyDescent="0.25">
      <c r="A38" s="1" t="s">
        <v>123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124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125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0</v>
      </c>
      <c r="P40">
        <v>0</v>
      </c>
      <c r="Q40">
        <v>0</v>
      </c>
      <c r="R40">
        <v>1</v>
      </c>
      <c r="S40">
        <v>0</v>
      </c>
      <c r="T40">
        <v>1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1</v>
      </c>
      <c r="BM40">
        <v>1</v>
      </c>
    </row>
    <row r="41" spans="1:65" x14ac:dyDescent="0.25">
      <c r="A41" s="1" t="s">
        <v>126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127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859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128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0</v>
      </c>
      <c r="BM44">
        <v>0</v>
      </c>
    </row>
    <row r="45" spans="1:65" x14ac:dyDescent="0.25">
      <c r="A45" s="1" t="s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130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s="1" t="s">
        <v>131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1</v>
      </c>
      <c r="BM47">
        <v>0</v>
      </c>
    </row>
    <row r="48" spans="1:65" x14ac:dyDescent="0.25">
      <c r="A48" s="1" t="s">
        <v>132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133</v>
      </c>
      <c r="B49">
        <v>1</v>
      </c>
      <c r="C49">
        <v>1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0</v>
      </c>
      <c r="Q49">
        <v>0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0</v>
      </c>
      <c r="AU49">
        <v>1</v>
      </c>
      <c r="AV49">
        <v>1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0</v>
      </c>
    </row>
    <row r="50" spans="1:65" x14ac:dyDescent="0.25">
      <c r="A50" s="1" t="s">
        <v>134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s="1" t="s">
        <v>135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136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>
        <v>1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1</v>
      </c>
      <c r="BM52">
        <v>0</v>
      </c>
    </row>
    <row r="53" spans="1:65" x14ac:dyDescent="0.25">
      <c r="A53" s="1" t="s">
        <v>137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s="1" t="s">
        <v>138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1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s="1" t="s">
        <v>139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 s="1" t="s">
        <v>140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1</v>
      </c>
      <c r="BM56">
        <v>0</v>
      </c>
    </row>
    <row r="57" spans="1:65" x14ac:dyDescent="0.25">
      <c r="A57" s="1" t="s">
        <v>141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1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65" x14ac:dyDescent="0.25">
      <c r="A58" s="1" t="s">
        <v>142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s="1" t="s">
        <v>143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s="1" t="s">
        <v>144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s="1" t="s">
        <v>145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s="1" t="s">
        <v>146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147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1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</row>
    <row r="64" spans="1:65" x14ac:dyDescent="0.25">
      <c r="A64" s="1" t="s">
        <v>148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145" x14ac:dyDescent="0.25">
      <c r="A65" s="1" t="s">
        <v>149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145" x14ac:dyDescent="0.25">
      <c r="A66" s="1" t="s">
        <v>150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145" x14ac:dyDescent="0.25">
      <c r="A67" s="1" t="s">
        <v>151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</row>
    <row r="68" spans="1:145" x14ac:dyDescent="0.25">
      <c r="A68" s="1" t="s">
        <v>152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145" x14ac:dyDescent="0.25">
      <c r="A69" s="1" t="s">
        <v>153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1</v>
      </c>
      <c r="BM69">
        <v>0</v>
      </c>
    </row>
    <row r="70" spans="1:145" x14ac:dyDescent="0.25">
      <c r="A70" s="1" t="s">
        <v>154</v>
      </c>
      <c r="B70">
        <v>1</v>
      </c>
      <c r="C70">
        <v>0</v>
      </c>
      <c r="D70">
        <v>0</v>
      </c>
      <c r="E70">
        <v>1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1</v>
      </c>
      <c r="AL70">
        <v>1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1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>
        <v>1</v>
      </c>
      <c r="BM70">
        <v>0</v>
      </c>
    </row>
    <row r="71" spans="1:145" x14ac:dyDescent="0.25">
      <c r="EO71" s="10"/>
    </row>
    <row r="72" spans="1:145" x14ac:dyDescent="0.25">
      <c r="A72" s="1" t="s">
        <v>834</v>
      </c>
      <c r="B72">
        <f>SUM(B3:B70)</f>
        <v>25</v>
      </c>
      <c r="C72">
        <f t="shared" ref="C72:BM72" si="0">SUM(C3:C70)</f>
        <v>5</v>
      </c>
      <c r="D72">
        <f t="shared" si="0"/>
        <v>4</v>
      </c>
      <c r="E72">
        <f t="shared" si="0"/>
        <v>7</v>
      </c>
      <c r="F72">
        <f t="shared" si="0"/>
        <v>4</v>
      </c>
      <c r="G72">
        <f t="shared" si="0"/>
        <v>10</v>
      </c>
      <c r="H72">
        <f t="shared" si="0"/>
        <v>1</v>
      </c>
      <c r="I72">
        <f t="shared" si="0"/>
        <v>6</v>
      </c>
      <c r="J72">
        <f t="shared" si="0"/>
        <v>11</v>
      </c>
      <c r="K72">
        <f t="shared" si="0"/>
        <v>5</v>
      </c>
      <c r="L72">
        <f t="shared" si="0"/>
        <v>22</v>
      </c>
      <c r="M72">
        <f t="shared" si="0"/>
        <v>29</v>
      </c>
      <c r="N72">
        <f t="shared" si="0"/>
        <v>28</v>
      </c>
      <c r="O72">
        <f t="shared" si="0"/>
        <v>10</v>
      </c>
      <c r="P72">
        <f t="shared" si="0"/>
        <v>5</v>
      </c>
      <c r="Q72">
        <f t="shared" si="0"/>
        <v>5</v>
      </c>
      <c r="R72">
        <f t="shared" si="0"/>
        <v>36</v>
      </c>
      <c r="S72">
        <f t="shared" si="0"/>
        <v>13</v>
      </c>
      <c r="T72">
        <f t="shared" si="0"/>
        <v>54</v>
      </c>
      <c r="U72">
        <f t="shared" si="0"/>
        <v>19</v>
      </c>
      <c r="V72">
        <f t="shared" si="0"/>
        <v>10</v>
      </c>
      <c r="W72">
        <f t="shared" si="0"/>
        <v>10</v>
      </c>
      <c r="X72">
        <f t="shared" si="0"/>
        <v>7</v>
      </c>
      <c r="Y72">
        <f t="shared" si="0"/>
        <v>1</v>
      </c>
      <c r="Z72">
        <f t="shared" si="0"/>
        <v>7</v>
      </c>
      <c r="AA72">
        <f t="shared" si="0"/>
        <v>9</v>
      </c>
      <c r="AB72">
        <f t="shared" si="0"/>
        <v>12</v>
      </c>
      <c r="AC72">
        <f t="shared" si="0"/>
        <v>4</v>
      </c>
      <c r="AD72">
        <f t="shared" si="0"/>
        <v>10</v>
      </c>
      <c r="AE72">
        <f t="shared" si="0"/>
        <v>21</v>
      </c>
      <c r="AF72">
        <f t="shared" si="0"/>
        <v>1</v>
      </c>
      <c r="AG72">
        <f t="shared" si="0"/>
        <v>8</v>
      </c>
      <c r="AH72">
        <f t="shared" si="0"/>
        <v>4</v>
      </c>
      <c r="AI72">
        <f t="shared" si="0"/>
        <v>16</v>
      </c>
      <c r="AJ72">
        <f t="shared" si="0"/>
        <v>6</v>
      </c>
      <c r="AK72">
        <f t="shared" si="0"/>
        <v>66</v>
      </c>
      <c r="AL72">
        <f t="shared" si="0"/>
        <v>30</v>
      </c>
      <c r="AM72">
        <f t="shared" si="0"/>
        <v>13</v>
      </c>
      <c r="AN72">
        <f t="shared" si="0"/>
        <v>1</v>
      </c>
      <c r="AO72">
        <f t="shared" si="0"/>
        <v>3</v>
      </c>
      <c r="AP72">
        <f t="shared" si="0"/>
        <v>6</v>
      </c>
      <c r="AQ72">
        <f t="shared" si="0"/>
        <v>24</v>
      </c>
      <c r="AR72">
        <f t="shared" si="0"/>
        <v>53</v>
      </c>
      <c r="AS72">
        <f t="shared" si="0"/>
        <v>11</v>
      </c>
      <c r="AT72">
        <f t="shared" si="0"/>
        <v>16</v>
      </c>
      <c r="AU72">
        <f t="shared" si="0"/>
        <v>51</v>
      </c>
      <c r="AV72">
        <f t="shared" si="0"/>
        <v>18</v>
      </c>
      <c r="AW72">
        <f t="shared" si="0"/>
        <v>1</v>
      </c>
      <c r="AX72">
        <f t="shared" si="0"/>
        <v>0</v>
      </c>
      <c r="AY72">
        <f t="shared" si="0"/>
        <v>10</v>
      </c>
      <c r="AZ72">
        <f t="shared" si="0"/>
        <v>3</v>
      </c>
      <c r="BA72">
        <f t="shared" si="0"/>
        <v>3</v>
      </c>
      <c r="BB72">
        <f t="shared" si="0"/>
        <v>1</v>
      </c>
      <c r="BC72">
        <f t="shared" si="0"/>
        <v>6</v>
      </c>
      <c r="BD72">
        <f t="shared" si="0"/>
        <v>16</v>
      </c>
      <c r="BE72">
        <f t="shared" si="0"/>
        <v>3</v>
      </c>
      <c r="BF72">
        <f t="shared" si="0"/>
        <v>0</v>
      </c>
      <c r="BG72">
        <f t="shared" si="0"/>
        <v>0</v>
      </c>
      <c r="BH72">
        <f t="shared" si="0"/>
        <v>37</v>
      </c>
      <c r="BI72">
        <f t="shared" si="0"/>
        <v>4</v>
      </c>
      <c r="BJ72">
        <f t="shared" si="0"/>
        <v>6</v>
      </c>
      <c r="BK72">
        <f t="shared" si="0"/>
        <v>13</v>
      </c>
      <c r="BL72">
        <f t="shared" si="0"/>
        <v>24</v>
      </c>
      <c r="BM72">
        <f t="shared" si="0"/>
        <v>2</v>
      </c>
      <c r="EO72" s="10"/>
    </row>
    <row r="73" spans="1:145" x14ac:dyDescent="0.25">
      <c r="A73" s="1" t="s">
        <v>835</v>
      </c>
      <c r="EO73" s="10"/>
    </row>
    <row r="74" spans="1:145" x14ac:dyDescent="0.25">
      <c r="A74" s="1" t="s">
        <v>837</v>
      </c>
      <c r="EO7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82" width="11.140625" customWidth="1"/>
  </cols>
  <sheetData>
    <row r="1" spans="1:65" s="13" customFormat="1" x14ac:dyDescent="0.25">
      <c r="A1" s="12" t="s">
        <v>155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156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157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</row>
    <row r="5" spans="1:65" x14ac:dyDescent="0.25">
      <c r="A5" s="1" t="s">
        <v>158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159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1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160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161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162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1</v>
      </c>
      <c r="BM9">
        <v>0</v>
      </c>
    </row>
    <row r="10" spans="1:65" x14ac:dyDescent="0.25">
      <c r="A10" s="1" t="s">
        <v>163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164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165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0</v>
      </c>
    </row>
    <row r="13" spans="1:65" x14ac:dyDescent="0.25">
      <c r="A13" s="1" t="s">
        <v>166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167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168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169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170</v>
      </c>
      <c r="B17">
        <v>1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1</v>
      </c>
      <c r="BM17">
        <v>0</v>
      </c>
    </row>
    <row r="18" spans="1:65" x14ac:dyDescent="0.25">
      <c r="A18" s="1" t="s">
        <v>171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1</v>
      </c>
      <c r="BM18">
        <v>0</v>
      </c>
    </row>
    <row r="19" spans="1:65" x14ac:dyDescent="0.25">
      <c r="A19" s="1" t="s">
        <v>172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173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1</v>
      </c>
      <c r="BL20">
        <v>1</v>
      </c>
      <c r="BM20">
        <v>0</v>
      </c>
    </row>
    <row r="21" spans="1:65" x14ac:dyDescent="0.25">
      <c r="A21" s="1" t="s">
        <v>174</v>
      </c>
      <c r="B21">
        <v>1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1</v>
      </c>
      <c r="M21">
        <v>1</v>
      </c>
      <c r="N21">
        <v>1</v>
      </c>
      <c r="O21">
        <v>0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1</v>
      </c>
      <c r="AC21">
        <v>0</v>
      </c>
      <c r="AD21">
        <v>0</v>
      </c>
      <c r="AE21">
        <v>1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0</v>
      </c>
    </row>
    <row r="22" spans="1:65" x14ac:dyDescent="0.25">
      <c r="A22" s="1" t="s">
        <v>175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</row>
    <row r="23" spans="1:65" x14ac:dyDescent="0.25">
      <c r="A23" s="1" t="s">
        <v>176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</row>
    <row r="24" spans="1:65" x14ac:dyDescent="0.25">
      <c r="A24" s="1" t="s">
        <v>177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178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179</v>
      </c>
      <c r="B26">
        <v>1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0</v>
      </c>
    </row>
    <row r="27" spans="1:65" x14ac:dyDescent="0.25">
      <c r="A27" s="1" t="s">
        <v>180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181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182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183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</row>
    <row r="32" spans="1:65" x14ac:dyDescent="0.25">
      <c r="A32" s="1" t="s">
        <v>834</v>
      </c>
      <c r="B32">
        <f>SUM(B3:B30)</f>
        <v>12</v>
      </c>
      <c r="C32">
        <f t="shared" ref="C32:BM32" si="0">SUM(C3:C30)</f>
        <v>1</v>
      </c>
      <c r="D32">
        <f t="shared" si="0"/>
        <v>3</v>
      </c>
      <c r="E32">
        <f t="shared" si="0"/>
        <v>1</v>
      </c>
      <c r="F32">
        <f t="shared" si="0"/>
        <v>0</v>
      </c>
      <c r="G32">
        <f t="shared" si="0"/>
        <v>3</v>
      </c>
      <c r="H32">
        <f t="shared" si="0"/>
        <v>1</v>
      </c>
      <c r="I32">
        <f t="shared" si="0"/>
        <v>3</v>
      </c>
      <c r="J32">
        <f t="shared" si="0"/>
        <v>14</v>
      </c>
      <c r="K32">
        <f t="shared" si="0"/>
        <v>0</v>
      </c>
      <c r="L32">
        <f t="shared" si="0"/>
        <v>6</v>
      </c>
      <c r="M32">
        <f t="shared" si="0"/>
        <v>6</v>
      </c>
      <c r="N32">
        <f t="shared" si="0"/>
        <v>12</v>
      </c>
      <c r="O32">
        <f t="shared" si="0"/>
        <v>3</v>
      </c>
      <c r="P32">
        <f t="shared" si="0"/>
        <v>1</v>
      </c>
      <c r="Q32">
        <f t="shared" si="0"/>
        <v>1</v>
      </c>
      <c r="R32">
        <f t="shared" si="0"/>
        <v>7</v>
      </c>
      <c r="S32">
        <f t="shared" si="0"/>
        <v>6</v>
      </c>
      <c r="T32">
        <f t="shared" si="0"/>
        <v>16</v>
      </c>
      <c r="U32">
        <f t="shared" si="0"/>
        <v>2</v>
      </c>
      <c r="V32">
        <f t="shared" si="0"/>
        <v>2</v>
      </c>
      <c r="W32">
        <f t="shared" si="0"/>
        <v>4</v>
      </c>
      <c r="X32">
        <f t="shared" si="0"/>
        <v>0</v>
      </c>
      <c r="Y32">
        <f t="shared" si="0"/>
        <v>0</v>
      </c>
      <c r="Z32">
        <f t="shared" si="0"/>
        <v>1</v>
      </c>
      <c r="AA32">
        <f t="shared" si="0"/>
        <v>3</v>
      </c>
      <c r="AB32">
        <f t="shared" si="0"/>
        <v>1</v>
      </c>
      <c r="AC32">
        <f t="shared" si="0"/>
        <v>0</v>
      </c>
      <c r="AD32">
        <f t="shared" si="0"/>
        <v>0</v>
      </c>
      <c r="AE32">
        <f t="shared" si="0"/>
        <v>3</v>
      </c>
      <c r="AF32">
        <f t="shared" si="0"/>
        <v>1</v>
      </c>
      <c r="AG32">
        <f t="shared" si="0"/>
        <v>3</v>
      </c>
      <c r="AH32">
        <f t="shared" si="0"/>
        <v>0</v>
      </c>
      <c r="AI32">
        <f t="shared" si="0"/>
        <v>6</v>
      </c>
      <c r="AJ32">
        <f t="shared" si="0"/>
        <v>2</v>
      </c>
      <c r="AK32">
        <f t="shared" si="0"/>
        <v>25</v>
      </c>
      <c r="AL32">
        <f t="shared" si="0"/>
        <v>12</v>
      </c>
      <c r="AM32">
        <f t="shared" si="0"/>
        <v>1</v>
      </c>
      <c r="AN32">
        <f t="shared" si="0"/>
        <v>0</v>
      </c>
      <c r="AO32">
        <f t="shared" si="0"/>
        <v>3</v>
      </c>
      <c r="AP32">
        <f t="shared" si="0"/>
        <v>2</v>
      </c>
      <c r="AQ32">
        <f t="shared" si="0"/>
        <v>4</v>
      </c>
      <c r="AR32">
        <f t="shared" si="0"/>
        <v>22</v>
      </c>
      <c r="AS32">
        <f t="shared" si="0"/>
        <v>4</v>
      </c>
      <c r="AT32">
        <f t="shared" si="0"/>
        <v>4</v>
      </c>
      <c r="AU32">
        <f t="shared" si="0"/>
        <v>20</v>
      </c>
      <c r="AV32">
        <f t="shared" si="0"/>
        <v>3</v>
      </c>
      <c r="AW32">
        <f t="shared" si="0"/>
        <v>0</v>
      </c>
      <c r="AX32">
        <f t="shared" si="0"/>
        <v>0</v>
      </c>
      <c r="AY32">
        <f t="shared" si="0"/>
        <v>1</v>
      </c>
      <c r="AZ32">
        <f t="shared" si="0"/>
        <v>1</v>
      </c>
      <c r="BA32">
        <f t="shared" si="0"/>
        <v>2</v>
      </c>
      <c r="BB32">
        <f t="shared" si="0"/>
        <v>0</v>
      </c>
      <c r="BC32">
        <f t="shared" si="0"/>
        <v>1</v>
      </c>
      <c r="BD32">
        <f t="shared" si="0"/>
        <v>2</v>
      </c>
      <c r="BE32">
        <f t="shared" si="0"/>
        <v>1</v>
      </c>
      <c r="BF32">
        <f t="shared" si="0"/>
        <v>0</v>
      </c>
      <c r="BG32">
        <f t="shared" si="0"/>
        <v>0</v>
      </c>
      <c r="BH32">
        <f t="shared" si="0"/>
        <v>11</v>
      </c>
      <c r="BI32">
        <f t="shared" si="0"/>
        <v>0</v>
      </c>
      <c r="BJ32">
        <f t="shared" si="0"/>
        <v>0</v>
      </c>
      <c r="BK32">
        <f t="shared" si="0"/>
        <v>8</v>
      </c>
      <c r="BL32">
        <f t="shared" si="0"/>
        <v>9</v>
      </c>
      <c r="BM32">
        <f t="shared" si="0"/>
        <v>0</v>
      </c>
    </row>
    <row r="33" spans="1:65" x14ac:dyDescent="0.25">
      <c r="A33" s="1" t="s">
        <v>835</v>
      </c>
    </row>
    <row r="34" spans="1:65" x14ac:dyDescent="0.25">
      <c r="A34" s="1" t="s">
        <v>837</v>
      </c>
    </row>
    <row r="35" spans="1:65" s="13" customFormat="1" x14ac:dyDescent="0.25">
      <c r="A35" s="12" t="s">
        <v>184</v>
      </c>
    </row>
    <row r="36" spans="1:65" s="15" customFormat="1" x14ac:dyDescent="0.25">
      <c r="A36" s="15" t="s">
        <v>0</v>
      </c>
      <c r="B36" s="15" t="s">
        <v>880</v>
      </c>
      <c r="C36" s="15" t="s">
        <v>881</v>
      </c>
      <c r="D36" s="15" t="s">
        <v>882</v>
      </c>
      <c r="E36" s="15" t="s">
        <v>883</v>
      </c>
      <c r="F36" s="15" t="s">
        <v>884</v>
      </c>
      <c r="G36" s="15" t="s">
        <v>885</v>
      </c>
      <c r="H36" s="15" t="s">
        <v>886</v>
      </c>
      <c r="I36" s="15" t="s">
        <v>893</v>
      </c>
      <c r="J36" s="15" t="s">
        <v>887</v>
      </c>
      <c r="K36" s="15" t="s">
        <v>888</v>
      </c>
      <c r="L36" s="15" t="s">
        <v>889</v>
      </c>
      <c r="M36" s="15" t="s">
        <v>890</v>
      </c>
      <c r="N36" s="15" t="s">
        <v>891</v>
      </c>
      <c r="O36" s="15" t="s">
        <v>892</v>
      </c>
      <c r="P36" s="15" t="s">
        <v>894</v>
      </c>
      <c r="Q36" s="15" t="s">
        <v>895</v>
      </c>
      <c r="R36" s="15" t="s">
        <v>896</v>
      </c>
      <c r="S36" s="15" t="s">
        <v>897</v>
      </c>
      <c r="T36" s="15" t="s">
        <v>898</v>
      </c>
      <c r="U36" s="15" t="s">
        <v>899</v>
      </c>
      <c r="V36" s="15" t="s">
        <v>900</v>
      </c>
      <c r="W36" s="15" t="s">
        <v>901</v>
      </c>
      <c r="X36" s="15" t="s">
        <v>902</v>
      </c>
      <c r="Y36" s="15" t="s">
        <v>903</v>
      </c>
      <c r="Z36" s="15" t="s">
        <v>904</v>
      </c>
      <c r="AA36" s="15" t="s">
        <v>905</v>
      </c>
      <c r="AB36" s="15" t="s">
        <v>906</v>
      </c>
      <c r="AC36" s="15" t="s">
        <v>907</v>
      </c>
      <c r="AD36" s="15" t="s">
        <v>908</v>
      </c>
      <c r="AE36" s="15" t="s">
        <v>909</v>
      </c>
      <c r="AF36" s="15" t="s">
        <v>910</v>
      </c>
      <c r="AG36" s="15" t="s">
        <v>911</v>
      </c>
      <c r="AH36" s="15" t="s">
        <v>912</v>
      </c>
      <c r="AI36" s="15" t="s">
        <v>913</v>
      </c>
      <c r="AJ36" s="15" t="s">
        <v>914</v>
      </c>
      <c r="AK36" s="15" t="s">
        <v>915</v>
      </c>
      <c r="AL36" s="15" t="s">
        <v>916</v>
      </c>
      <c r="AM36" s="15" t="s">
        <v>917</v>
      </c>
      <c r="AN36" s="15" t="s">
        <v>918</v>
      </c>
      <c r="AO36" s="15" t="s">
        <v>919</v>
      </c>
      <c r="AP36" s="15" t="s">
        <v>920</v>
      </c>
      <c r="AQ36" s="15" t="s">
        <v>921</v>
      </c>
      <c r="AR36" s="15" t="s">
        <v>922</v>
      </c>
      <c r="AS36" s="15" t="s">
        <v>923</v>
      </c>
      <c r="AT36" s="15" t="s">
        <v>924</v>
      </c>
      <c r="AU36" s="15" t="s">
        <v>925</v>
      </c>
      <c r="AV36" s="15" t="s">
        <v>926</v>
      </c>
      <c r="AW36" s="15" t="s">
        <v>927</v>
      </c>
      <c r="AX36" s="15" t="s">
        <v>928</v>
      </c>
      <c r="AY36" s="15" t="s">
        <v>929</v>
      </c>
      <c r="AZ36" s="15" t="s">
        <v>930</v>
      </c>
      <c r="BA36" s="15" t="s">
        <v>931</v>
      </c>
      <c r="BB36" s="15" t="s">
        <v>932</v>
      </c>
      <c r="BC36" s="15" t="s">
        <v>933</v>
      </c>
      <c r="BD36" s="15" t="s">
        <v>934</v>
      </c>
      <c r="BE36" s="15" t="s">
        <v>935</v>
      </c>
      <c r="BF36" s="15" t="s">
        <v>936</v>
      </c>
      <c r="BG36" s="15" t="s">
        <v>937</v>
      </c>
      <c r="BH36" s="15" t="s">
        <v>938</v>
      </c>
      <c r="BI36" s="15" t="s">
        <v>939</v>
      </c>
      <c r="BJ36" s="15" t="s">
        <v>940</v>
      </c>
      <c r="BK36" s="15" t="s">
        <v>941</v>
      </c>
      <c r="BL36" s="15" t="s">
        <v>942</v>
      </c>
      <c r="BM36" s="15" t="s">
        <v>943</v>
      </c>
    </row>
    <row r="37" spans="1:65" x14ac:dyDescent="0.25">
      <c r="A37" s="1" t="s">
        <v>185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186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1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1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187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1</v>
      </c>
      <c r="M39">
        <v>1</v>
      </c>
      <c r="N39">
        <v>1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1</v>
      </c>
      <c r="AU39">
        <v>1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</row>
    <row r="40" spans="1:65" x14ac:dyDescent="0.25">
      <c r="A40" s="1" t="s">
        <v>211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1</v>
      </c>
      <c r="BL40">
        <v>0</v>
      </c>
      <c r="BM40">
        <v>0</v>
      </c>
    </row>
    <row r="41" spans="1:65" x14ac:dyDescent="0.25">
      <c r="A41" s="1" t="s">
        <v>188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1</v>
      </c>
      <c r="BM41">
        <v>0</v>
      </c>
    </row>
    <row r="42" spans="1:65" x14ac:dyDescent="0.25">
      <c r="A42" s="1" t="s">
        <v>189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190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1</v>
      </c>
      <c r="BM43">
        <v>0</v>
      </c>
    </row>
    <row r="44" spans="1:65" x14ac:dyDescent="0.25">
      <c r="A44" s="1" t="s">
        <v>191</v>
      </c>
      <c r="B44">
        <v>1</v>
      </c>
      <c r="C44">
        <v>1</v>
      </c>
      <c r="D44">
        <v>1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1</v>
      </c>
      <c r="T44">
        <v>1</v>
      </c>
      <c r="U44">
        <v>1</v>
      </c>
      <c r="V44">
        <v>0</v>
      </c>
      <c r="W44">
        <v>1</v>
      </c>
      <c r="X44">
        <v>1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1</v>
      </c>
      <c r="AP44">
        <v>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1</v>
      </c>
      <c r="AZ44">
        <v>1</v>
      </c>
      <c r="BA44">
        <v>1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0</v>
      </c>
    </row>
    <row r="45" spans="1:65" x14ac:dyDescent="0.25">
      <c r="A45" s="1" t="s">
        <v>192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1</v>
      </c>
      <c r="BM45">
        <v>0</v>
      </c>
    </row>
    <row r="46" spans="1:65" x14ac:dyDescent="0.25">
      <c r="A46" s="1" t="s">
        <v>193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</row>
    <row r="47" spans="1:65" x14ac:dyDescent="0.25">
      <c r="A47" s="1" t="s">
        <v>194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1</v>
      </c>
      <c r="BL47">
        <v>0</v>
      </c>
      <c r="BM47">
        <v>0</v>
      </c>
    </row>
    <row r="48" spans="1:65" x14ac:dyDescent="0.25">
      <c r="A48" s="1" t="s">
        <v>195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1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1</v>
      </c>
      <c r="BM48">
        <v>0</v>
      </c>
    </row>
    <row r="49" spans="1:65" x14ac:dyDescent="0.25">
      <c r="A49" s="1" t="s">
        <v>196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1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1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0</v>
      </c>
    </row>
    <row r="50" spans="1:65" x14ac:dyDescent="0.25">
      <c r="A50" s="1" t="s">
        <v>197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0</v>
      </c>
      <c r="T50">
        <v>1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1</v>
      </c>
    </row>
    <row r="51" spans="1:65" x14ac:dyDescent="0.25">
      <c r="A51" s="1" t="s">
        <v>198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1</v>
      </c>
      <c r="AU51">
        <v>1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199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1</v>
      </c>
      <c r="BL52">
        <v>0</v>
      </c>
      <c r="BM52">
        <v>0</v>
      </c>
    </row>
    <row r="53" spans="1:65" x14ac:dyDescent="0.25">
      <c r="A53" s="1" t="s">
        <v>200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s="1" t="s">
        <v>201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  <c r="O54">
        <v>1</v>
      </c>
      <c r="P54">
        <v>0</v>
      </c>
      <c r="Q54">
        <v>0</v>
      </c>
      <c r="R54">
        <v>0</v>
      </c>
      <c r="S54">
        <v>1</v>
      </c>
      <c r="T54">
        <v>1</v>
      </c>
      <c r="U54">
        <v>1</v>
      </c>
      <c r="V54">
        <v>0</v>
      </c>
      <c r="W54">
        <v>1</v>
      </c>
      <c r="X54">
        <v>1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1</v>
      </c>
      <c r="AR54">
        <v>1</v>
      </c>
      <c r="AS54">
        <v>1</v>
      </c>
      <c r="AT54">
        <v>0</v>
      </c>
      <c r="AU54">
        <v>1</v>
      </c>
      <c r="AV54">
        <v>1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0</v>
      </c>
    </row>
    <row r="55" spans="1:65" x14ac:dyDescent="0.25">
      <c r="A55" s="1" t="s">
        <v>202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0</v>
      </c>
      <c r="Z55">
        <v>0</v>
      </c>
      <c r="AA55">
        <v>1</v>
      </c>
      <c r="AB55">
        <v>1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1</v>
      </c>
      <c r="BL55">
        <v>1</v>
      </c>
      <c r="BM55">
        <v>0</v>
      </c>
    </row>
    <row r="56" spans="1:65" x14ac:dyDescent="0.25">
      <c r="A56" s="1" t="s">
        <v>203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0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1</v>
      </c>
      <c r="AR56">
        <v>1</v>
      </c>
      <c r="AS56">
        <v>0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1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s="1" t="s">
        <v>210</v>
      </c>
      <c r="B57">
        <v>1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1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</row>
    <row r="58" spans="1:65" x14ac:dyDescent="0.25">
      <c r="A58" s="1" t="s">
        <v>204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1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s="1" t="s">
        <v>205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1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1</v>
      </c>
      <c r="BL59">
        <v>1</v>
      </c>
      <c r="BM59">
        <v>0</v>
      </c>
    </row>
    <row r="60" spans="1:65" x14ac:dyDescent="0.25">
      <c r="A60" s="1" t="s">
        <v>206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1</v>
      </c>
      <c r="AS60">
        <v>0</v>
      </c>
      <c r="AT60">
        <v>1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</row>
    <row r="61" spans="1:65" x14ac:dyDescent="0.25">
      <c r="A61" s="1" t="s">
        <v>207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1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1</v>
      </c>
      <c r="BM61">
        <v>0</v>
      </c>
    </row>
    <row r="62" spans="1:65" x14ac:dyDescent="0.25">
      <c r="A62" s="1" t="s">
        <v>208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1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1</v>
      </c>
      <c r="AQ62">
        <v>0</v>
      </c>
      <c r="AR62">
        <v>1</v>
      </c>
      <c r="AS62">
        <v>0</v>
      </c>
      <c r="AT62">
        <v>0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209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0</v>
      </c>
    </row>
    <row r="65" spans="1:65" x14ac:dyDescent="0.25">
      <c r="A65" s="1" t="s">
        <v>834</v>
      </c>
      <c r="B65">
        <f>SUM(B37:B63)</f>
        <v>15</v>
      </c>
      <c r="C65">
        <f t="shared" ref="C65:BM65" si="1">SUM(C37:C63)</f>
        <v>3</v>
      </c>
      <c r="D65">
        <f t="shared" si="1"/>
        <v>8</v>
      </c>
      <c r="E65">
        <f t="shared" si="1"/>
        <v>0</v>
      </c>
      <c r="F65">
        <f t="shared" si="1"/>
        <v>1</v>
      </c>
      <c r="G65">
        <f t="shared" si="1"/>
        <v>0</v>
      </c>
      <c r="H65">
        <f t="shared" si="1"/>
        <v>0</v>
      </c>
      <c r="I65">
        <f t="shared" si="1"/>
        <v>5</v>
      </c>
      <c r="J65">
        <f t="shared" si="1"/>
        <v>25</v>
      </c>
      <c r="K65">
        <f t="shared" si="1"/>
        <v>2</v>
      </c>
      <c r="L65">
        <f t="shared" si="1"/>
        <v>12</v>
      </c>
      <c r="M65">
        <f t="shared" si="1"/>
        <v>15</v>
      </c>
      <c r="N65">
        <f t="shared" si="1"/>
        <v>20</v>
      </c>
      <c r="O65">
        <f t="shared" si="1"/>
        <v>8</v>
      </c>
      <c r="P65">
        <f t="shared" si="1"/>
        <v>1</v>
      </c>
      <c r="Q65">
        <f t="shared" si="1"/>
        <v>1</v>
      </c>
      <c r="R65">
        <f t="shared" si="1"/>
        <v>11</v>
      </c>
      <c r="S65">
        <f t="shared" si="1"/>
        <v>9</v>
      </c>
      <c r="T65">
        <f t="shared" si="1"/>
        <v>24</v>
      </c>
      <c r="U65">
        <f t="shared" si="1"/>
        <v>17</v>
      </c>
      <c r="V65">
        <f t="shared" si="1"/>
        <v>0</v>
      </c>
      <c r="W65">
        <f t="shared" si="1"/>
        <v>14</v>
      </c>
      <c r="X65">
        <f t="shared" si="1"/>
        <v>5</v>
      </c>
      <c r="Y65">
        <f t="shared" si="1"/>
        <v>0</v>
      </c>
      <c r="Z65">
        <f t="shared" si="1"/>
        <v>0</v>
      </c>
      <c r="AA65">
        <f t="shared" si="1"/>
        <v>5</v>
      </c>
      <c r="AB65">
        <f t="shared" si="1"/>
        <v>6</v>
      </c>
      <c r="AC65">
        <f t="shared" si="1"/>
        <v>0</v>
      </c>
      <c r="AD65">
        <f t="shared" si="1"/>
        <v>1</v>
      </c>
      <c r="AE65">
        <f t="shared" si="1"/>
        <v>5</v>
      </c>
      <c r="AF65">
        <f t="shared" si="1"/>
        <v>3</v>
      </c>
      <c r="AG65">
        <f t="shared" si="1"/>
        <v>5</v>
      </c>
      <c r="AH65">
        <f t="shared" si="1"/>
        <v>0</v>
      </c>
      <c r="AI65">
        <f t="shared" si="1"/>
        <v>15</v>
      </c>
      <c r="AJ65">
        <f t="shared" si="1"/>
        <v>3</v>
      </c>
      <c r="AK65">
        <f t="shared" si="1"/>
        <v>25</v>
      </c>
      <c r="AL65">
        <f t="shared" si="1"/>
        <v>21</v>
      </c>
      <c r="AM65">
        <f t="shared" si="1"/>
        <v>5</v>
      </c>
      <c r="AN65">
        <f t="shared" si="1"/>
        <v>0</v>
      </c>
      <c r="AO65">
        <f t="shared" si="1"/>
        <v>3</v>
      </c>
      <c r="AP65">
        <f t="shared" si="1"/>
        <v>1</v>
      </c>
      <c r="AQ65">
        <f t="shared" si="1"/>
        <v>16</v>
      </c>
      <c r="AR65">
        <f t="shared" si="1"/>
        <v>24</v>
      </c>
      <c r="AS65">
        <f t="shared" si="1"/>
        <v>9</v>
      </c>
      <c r="AT65">
        <f t="shared" si="1"/>
        <v>12</v>
      </c>
      <c r="AU65">
        <f t="shared" si="1"/>
        <v>25</v>
      </c>
      <c r="AV65">
        <f t="shared" si="1"/>
        <v>14</v>
      </c>
      <c r="AW65">
        <f t="shared" si="1"/>
        <v>0</v>
      </c>
      <c r="AX65">
        <f t="shared" si="1"/>
        <v>0</v>
      </c>
      <c r="AY65">
        <f t="shared" si="1"/>
        <v>5</v>
      </c>
      <c r="AZ65">
        <f t="shared" si="1"/>
        <v>7</v>
      </c>
      <c r="BA65">
        <f t="shared" si="1"/>
        <v>4</v>
      </c>
      <c r="BB65">
        <f t="shared" si="1"/>
        <v>0</v>
      </c>
      <c r="BC65">
        <f t="shared" si="1"/>
        <v>2</v>
      </c>
      <c r="BD65">
        <f t="shared" si="1"/>
        <v>11</v>
      </c>
      <c r="BE65">
        <f t="shared" si="1"/>
        <v>2</v>
      </c>
      <c r="BF65">
        <f t="shared" si="1"/>
        <v>0</v>
      </c>
      <c r="BG65">
        <f t="shared" si="1"/>
        <v>0</v>
      </c>
      <c r="BH65">
        <f t="shared" si="1"/>
        <v>16</v>
      </c>
      <c r="BI65">
        <f t="shared" si="1"/>
        <v>0</v>
      </c>
      <c r="BJ65">
        <f t="shared" si="1"/>
        <v>0</v>
      </c>
      <c r="BK65">
        <f t="shared" si="1"/>
        <v>13</v>
      </c>
      <c r="BL65">
        <f t="shared" si="1"/>
        <v>15</v>
      </c>
      <c r="BM65">
        <f t="shared" si="1"/>
        <v>1</v>
      </c>
    </row>
    <row r="66" spans="1:65" x14ac:dyDescent="0.25">
      <c r="A66" s="1" t="s">
        <v>835</v>
      </c>
    </row>
    <row r="67" spans="1:65" x14ac:dyDescent="0.25">
      <c r="A67" s="1" t="s">
        <v>837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4.5703125" style="1" bestFit="1" customWidth="1"/>
    <col min="2" max="87" width="11.28515625" customWidth="1"/>
  </cols>
  <sheetData>
    <row r="1" spans="1:65" s="13" customFormat="1" x14ac:dyDescent="0.25">
      <c r="A1" s="12" t="s">
        <v>212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213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214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0</v>
      </c>
    </row>
    <row r="5" spans="1:65" x14ac:dyDescent="0.25">
      <c r="A5" s="1" t="s">
        <v>215</v>
      </c>
      <c r="B5">
        <v>1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1</v>
      </c>
      <c r="AP5">
        <v>1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</row>
    <row r="6" spans="1:65" x14ac:dyDescent="0.25">
      <c r="A6" s="1" t="s">
        <v>216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217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218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219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1</v>
      </c>
      <c r="BM9">
        <v>0</v>
      </c>
    </row>
    <row r="10" spans="1:65" x14ac:dyDescent="0.25">
      <c r="A10" s="1" t="s">
        <v>220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221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1</v>
      </c>
      <c r="BM11">
        <v>0</v>
      </c>
    </row>
    <row r="12" spans="1:65" x14ac:dyDescent="0.25">
      <c r="A12" s="1" t="s">
        <v>222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223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224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225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0</v>
      </c>
    </row>
    <row r="16" spans="1:65" x14ac:dyDescent="0.25">
      <c r="A16" s="1" t="s">
        <v>226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227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</row>
    <row r="18" spans="1:65" x14ac:dyDescent="0.25">
      <c r="A18" s="1" t="s">
        <v>228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229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230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231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232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233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1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1</v>
      </c>
      <c r="BM23">
        <v>0</v>
      </c>
    </row>
    <row r="24" spans="1:65" x14ac:dyDescent="0.25">
      <c r="A24" s="1" t="s">
        <v>234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235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236</v>
      </c>
      <c r="B26">
        <v>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</row>
    <row r="27" spans="1:65" x14ac:dyDescent="0.25">
      <c r="A27" s="1" t="s">
        <v>237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238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1</v>
      </c>
      <c r="BM28">
        <v>0</v>
      </c>
    </row>
    <row r="29" spans="1:65" x14ac:dyDescent="0.25">
      <c r="A29" s="1" t="s">
        <v>239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240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241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242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1</v>
      </c>
      <c r="BM32">
        <v>0</v>
      </c>
    </row>
    <row r="33" spans="1:65" x14ac:dyDescent="0.25">
      <c r="A33" s="1" t="s">
        <v>243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244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245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246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247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248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</row>
    <row r="39" spans="1:65" x14ac:dyDescent="0.25">
      <c r="A39" s="1" t="s">
        <v>249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250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251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1</v>
      </c>
      <c r="BM41">
        <v>0</v>
      </c>
    </row>
    <row r="42" spans="1:65" x14ac:dyDescent="0.25">
      <c r="A42" s="1" t="s">
        <v>252</v>
      </c>
      <c r="B42">
        <v>1</v>
      </c>
      <c r="C42">
        <v>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1</v>
      </c>
      <c r="O42">
        <v>1</v>
      </c>
      <c r="P42">
        <v>0</v>
      </c>
      <c r="Q42">
        <v>0</v>
      </c>
      <c r="R42">
        <v>1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1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1</v>
      </c>
      <c r="BL42">
        <v>1</v>
      </c>
      <c r="BM42">
        <v>0</v>
      </c>
    </row>
    <row r="43" spans="1:65" x14ac:dyDescent="0.25">
      <c r="A43" s="1" t="s">
        <v>253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254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1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1</v>
      </c>
      <c r="BM44">
        <v>0</v>
      </c>
    </row>
    <row r="45" spans="1:65" x14ac:dyDescent="0.25">
      <c r="A45" s="1" t="s">
        <v>255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s="1" t="s">
        <v>256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</row>
    <row r="47" spans="1:65" x14ac:dyDescent="0.25">
      <c r="A47" s="1" t="s">
        <v>257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258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</v>
      </c>
      <c r="BM48">
        <v>0</v>
      </c>
    </row>
    <row r="49" spans="1:65" x14ac:dyDescent="0.25">
      <c r="A49" s="1" t="s">
        <v>259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s="1" t="s">
        <v>260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0</v>
      </c>
    </row>
    <row r="51" spans="1:65" x14ac:dyDescent="0.25">
      <c r="A51" s="1" t="s">
        <v>261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262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1</v>
      </c>
      <c r="T52" s="9">
        <v>1</v>
      </c>
      <c r="U52" s="9">
        <v>0</v>
      </c>
      <c r="V52">
        <v>0</v>
      </c>
      <c r="W52" s="9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1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T53" s="8"/>
      <c r="U53" s="8"/>
      <c r="W53" s="8"/>
      <c r="X53" s="8"/>
      <c r="Z53" s="8"/>
      <c r="AA53" s="8"/>
    </row>
    <row r="54" spans="1:65" x14ac:dyDescent="0.25">
      <c r="A54" s="1" t="s">
        <v>834</v>
      </c>
      <c r="B54">
        <f>SUM(B3:B52)</f>
        <v>23</v>
      </c>
      <c r="C54">
        <f t="shared" ref="C54:BM54" si="0">SUM(C3:C52)</f>
        <v>2</v>
      </c>
      <c r="D54">
        <f t="shared" si="0"/>
        <v>5</v>
      </c>
      <c r="E54">
        <f t="shared" si="0"/>
        <v>1</v>
      </c>
      <c r="F54">
        <f t="shared" si="0"/>
        <v>0</v>
      </c>
      <c r="G54">
        <f t="shared" si="0"/>
        <v>0</v>
      </c>
      <c r="H54">
        <f t="shared" si="0"/>
        <v>0</v>
      </c>
      <c r="I54">
        <f t="shared" si="0"/>
        <v>2</v>
      </c>
      <c r="J54">
        <f t="shared" si="0"/>
        <v>30</v>
      </c>
      <c r="K54">
        <f t="shared" si="0"/>
        <v>0</v>
      </c>
      <c r="L54">
        <f t="shared" si="0"/>
        <v>8</v>
      </c>
      <c r="M54">
        <f t="shared" si="0"/>
        <v>18</v>
      </c>
      <c r="N54">
        <f t="shared" si="0"/>
        <v>18</v>
      </c>
      <c r="O54">
        <f t="shared" si="0"/>
        <v>8</v>
      </c>
      <c r="P54">
        <f t="shared" si="0"/>
        <v>1</v>
      </c>
      <c r="Q54">
        <f t="shared" si="0"/>
        <v>1</v>
      </c>
      <c r="R54">
        <f t="shared" si="0"/>
        <v>13</v>
      </c>
      <c r="S54">
        <f t="shared" si="0"/>
        <v>5</v>
      </c>
      <c r="T54">
        <f t="shared" si="0"/>
        <v>36</v>
      </c>
      <c r="U54">
        <f t="shared" si="0"/>
        <v>10</v>
      </c>
      <c r="V54">
        <f t="shared" si="0"/>
        <v>2</v>
      </c>
      <c r="W54">
        <f t="shared" si="0"/>
        <v>5</v>
      </c>
      <c r="X54">
        <f t="shared" si="0"/>
        <v>0</v>
      </c>
      <c r="Y54">
        <f t="shared" si="0"/>
        <v>0</v>
      </c>
      <c r="Z54">
        <f t="shared" si="0"/>
        <v>0</v>
      </c>
      <c r="AA54">
        <f t="shared" si="0"/>
        <v>0</v>
      </c>
      <c r="AB54">
        <f t="shared" si="0"/>
        <v>8</v>
      </c>
      <c r="AC54">
        <f t="shared" si="0"/>
        <v>0</v>
      </c>
      <c r="AD54">
        <f t="shared" si="0"/>
        <v>1</v>
      </c>
      <c r="AE54">
        <f t="shared" si="0"/>
        <v>5</v>
      </c>
      <c r="AF54">
        <f t="shared" si="0"/>
        <v>0</v>
      </c>
      <c r="AG54">
        <f t="shared" si="0"/>
        <v>1</v>
      </c>
      <c r="AH54">
        <f t="shared" si="0"/>
        <v>0</v>
      </c>
      <c r="AI54">
        <f t="shared" si="0"/>
        <v>12</v>
      </c>
      <c r="AJ54">
        <f t="shared" si="0"/>
        <v>3</v>
      </c>
      <c r="AK54">
        <f t="shared" si="0"/>
        <v>50</v>
      </c>
      <c r="AL54">
        <f t="shared" si="0"/>
        <v>18</v>
      </c>
      <c r="AM54">
        <f t="shared" si="0"/>
        <v>3</v>
      </c>
      <c r="AN54">
        <f t="shared" si="0"/>
        <v>0</v>
      </c>
      <c r="AO54">
        <f t="shared" si="0"/>
        <v>2</v>
      </c>
      <c r="AP54">
        <f t="shared" si="0"/>
        <v>2</v>
      </c>
      <c r="AQ54">
        <f t="shared" si="0"/>
        <v>8</v>
      </c>
      <c r="AR54">
        <f t="shared" si="0"/>
        <v>46</v>
      </c>
      <c r="AS54">
        <f t="shared" si="0"/>
        <v>1</v>
      </c>
      <c r="AT54">
        <f t="shared" si="0"/>
        <v>5</v>
      </c>
      <c r="AU54">
        <f t="shared" si="0"/>
        <v>35</v>
      </c>
      <c r="AV54">
        <f t="shared" si="0"/>
        <v>10</v>
      </c>
      <c r="AW54">
        <f t="shared" si="0"/>
        <v>0</v>
      </c>
      <c r="AX54">
        <f t="shared" si="0"/>
        <v>0</v>
      </c>
      <c r="AY54">
        <f t="shared" si="0"/>
        <v>0</v>
      </c>
      <c r="AZ54">
        <f t="shared" si="0"/>
        <v>4</v>
      </c>
      <c r="BA54">
        <f t="shared" si="0"/>
        <v>1</v>
      </c>
      <c r="BB54">
        <f t="shared" si="0"/>
        <v>1</v>
      </c>
      <c r="BC54">
        <f t="shared" si="0"/>
        <v>3</v>
      </c>
      <c r="BD54">
        <f t="shared" si="0"/>
        <v>7</v>
      </c>
      <c r="BE54">
        <f t="shared" si="0"/>
        <v>0</v>
      </c>
      <c r="BF54">
        <f t="shared" si="0"/>
        <v>0</v>
      </c>
      <c r="BG54">
        <f t="shared" si="0"/>
        <v>0</v>
      </c>
      <c r="BH54">
        <f t="shared" si="0"/>
        <v>18</v>
      </c>
      <c r="BI54">
        <f t="shared" si="0"/>
        <v>0</v>
      </c>
      <c r="BJ54">
        <f t="shared" si="0"/>
        <v>0</v>
      </c>
      <c r="BK54">
        <f t="shared" si="0"/>
        <v>6</v>
      </c>
      <c r="BL54">
        <f t="shared" si="0"/>
        <v>17</v>
      </c>
      <c r="BM54">
        <f t="shared" si="0"/>
        <v>0</v>
      </c>
    </row>
    <row r="55" spans="1:65" x14ac:dyDescent="0.25">
      <c r="A55" s="1" t="s">
        <v>835</v>
      </c>
    </row>
    <row r="56" spans="1:65" x14ac:dyDescent="0.25">
      <c r="A56" s="1" t="s">
        <v>837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3.28515625" style="1" bestFit="1" customWidth="1"/>
    <col min="2" max="3" width="11.28515625" customWidth="1"/>
    <col min="4" max="4" width="11.5703125" customWidth="1"/>
    <col min="5" max="82" width="11.28515625" customWidth="1"/>
    <col min="83" max="83" width="11.28515625" style="9" customWidth="1"/>
    <col min="84" max="89" width="11.28515625" customWidth="1"/>
  </cols>
  <sheetData>
    <row r="1" spans="1:65" s="13" customFormat="1" x14ac:dyDescent="0.25">
      <c r="A1" s="12" t="s">
        <v>263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265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0</v>
      </c>
    </row>
    <row r="5" spans="1:65" x14ac:dyDescent="0.25">
      <c r="A5" s="1" t="s">
        <v>266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267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1</v>
      </c>
      <c r="BM6">
        <v>0</v>
      </c>
    </row>
    <row r="7" spans="1:65" x14ac:dyDescent="0.25">
      <c r="A7" s="1" t="s">
        <v>268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269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270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1</v>
      </c>
      <c r="BL9">
        <v>1</v>
      </c>
      <c r="BM9">
        <v>0</v>
      </c>
    </row>
    <row r="10" spans="1:65" x14ac:dyDescent="0.25">
      <c r="A10" s="1" t="s">
        <v>271</v>
      </c>
      <c r="B10">
        <v>0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272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273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274</v>
      </c>
      <c r="B13">
        <v>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1</v>
      </c>
      <c r="S13">
        <v>0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0</v>
      </c>
    </row>
    <row r="14" spans="1:65" x14ac:dyDescent="0.25">
      <c r="A14" s="1" t="s">
        <v>275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277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278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279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1</v>
      </c>
      <c r="S18">
        <v>0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0</v>
      </c>
    </row>
    <row r="19" spans="1:65" x14ac:dyDescent="0.25">
      <c r="A19" s="1" t="s">
        <v>280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281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282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283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284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1</v>
      </c>
      <c r="O23">
        <v>1</v>
      </c>
      <c r="P23">
        <v>0</v>
      </c>
      <c r="Q23">
        <v>0</v>
      </c>
      <c r="R23">
        <v>1</v>
      </c>
      <c r="S23">
        <v>0</v>
      </c>
      <c r="T2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0</v>
      </c>
    </row>
    <row r="24" spans="1:65" x14ac:dyDescent="0.25">
      <c r="A24" s="1" t="s">
        <v>285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286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287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288</v>
      </c>
      <c r="B27">
        <v>1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0</v>
      </c>
    </row>
    <row r="28" spans="1:65" x14ac:dyDescent="0.25">
      <c r="A28" s="1" t="s">
        <v>289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290</v>
      </c>
      <c r="B29">
        <v>0</v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</row>
    <row r="30" spans="1:65" x14ac:dyDescent="0.25">
      <c r="A30" s="1" t="s">
        <v>291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</row>
    <row r="31" spans="1:65" x14ac:dyDescent="0.25">
      <c r="A31" s="1" t="s">
        <v>292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293</v>
      </c>
      <c r="B32">
        <v>0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1</v>
      </c>
      <c r="AT32">
        <v>0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83" x14ac:dyDescent="0.25">
      <c r="A33" s="1" t="s">
        <v>294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1</v>
      </c>
      <c r="AV33">
        <v>1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1</v>
      </c>
      <c r="BL33">
        <v>0</v>
      </c>
      <c r="BM33">
        <v>0</v>
      </c>
    </row>
    <row r="34" spans="1:83" x14ac:dyDescent="0.25">
      <c r="A34" s="1" t="s">
        <v>295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83" x14ac:dyDescent="0.25">
      <c r="A35" s="1" t="s">
        <v>296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1</v>
      </c>
      <c r="BM35">
        <v>0</v>
      </c>
    </row>
    <row r="37" spans="1:83" x14ac:dyDescent="0.25">
      <c r="A37" s="1" t="s">
        <v>834</v>
      </c>
      <c r="B37">
        <f>SUM(B3:B35)</f>
        <v>9</v>
      </c>
      <c r="C37">
        <f t="shared" ref="C37:BM37" si="0">SUM(C3:C35)</f>
        <v>0</v>
      </c>
      <c r="D37">
        <f t="shared" si="0"/>
        <v>2</v>
      </c>
      <c r="E37">
        <f t="shared" si="0"/>
        <v>0</v>
      </c>
      <c r="F37">
        <f t="shared" si="0"/>
        <v>0</v>
      </c>
      <c r="G37">
        <f t="shared" si="0"/>
        <v>7</v>
      </c>
      <c r="H37">
        <f t="shared" si="0"/>
        <v>0</v>
      </c>
      <c r="I37">
        <f t="shared" si="0"/>
        <v>2</v>
      </c>
      <c r="J37">
        <f t="shared" si="0"/>
        <v>14</v>
      </c>
      <c r="K37">
        <f t="shared" si="0"/>
        <v>1</v>
      </c>
      <c r="L37">
        <f t="shared" si="0"/>
        <v>3</v>
      </c>
      <c r="M37">
        <f t="shared" si="0"/>
        <v>7</v>
      </c>
      <c r="N37">
        <f t="shared" si="0"/>
        <v>11</v>
      </c>
      <c r="O37">
        <f t="shared" si="0"/>
        <v>11</v>
      </c>
      <c r="P37">
        <f t="shared" si="0"/>
        <v>1</v>
      </c>
      <c r="Q37">
        <f t="shared" si="0"/>
        <v>1</v>
      </c>
      <c r="R37">
        <f t="shared" si="0"/>
        <v>7</v>
      </c>
      <c r="S37">
        <f t="shared" si="0"/>
        <v>3</v>
      </c>
      <c r="T37">
        <f t="shared" si="0"/>
        <v>19</v>
      </c>
      <c r="U37">
        <f t="shared" si="0"/>
        <v>14</v>
      </c>
      <c r="V37">
        <f t="shared" si="0"/>
        <v>2</v>
      </c>
      <c r="W37">
        <f t="shared" si="0"/>
        <v>1</v>
      </c>
      <c r="X37">
        <f t="shared" si="0"/>
        <v>0</v>
      </c>
      <c r="Y37">
        <f t="shared" si="0"/>
        <v>0</v>
      </c>
      <c r="Z37">
        <f t="shared" si="0"/>
        <v>0</v>
      </c>
      <c r="AA37">
        <f t="shared" si="0"/>
        <v>0</v>
      </c>
      <c r="AB37">
        <f t="shared" si="0"/>
        <v>2</v>
      </c>
      <c r="AC37">
        <f t="shared" si="0"/>
        <v>0</v>
      </c>
      <c r="AD37">
        <f t="shared" si="0"/>
        <v>1</v>
      </c>
      <c r="AE37">
        <f t="shared" si="0"/>
        <v>2</v>
      </c>
      <c r="AF37">
        <f t="shared" si="0"/>
        <v>0</v>
      </c>
      <c r="AG37">
        <f t="shared" si="0"/>
        <v>0</v>
      </c>
      <c r="AH37">
        <f t="shared" si="0"/>
        <v>0</v>
      </c>
      <c r="AI37">
        <f t="shared" si="0"/>
        <v>6</v>
      </c>
      <c r="AJ37">
        <f t="shared" si="0"/>
        <v>2</v>
      </c>
      <c r="AK37">
        <f t="shared" si="0"/>
        <v>30</v>
      </c>
      <c r="AL37">
        <f t="shared" si="0"/>
        <v>7</v>
      </c>
      <c r="AM37">
        <f t="shared" si="0"/>
        <v>3</v>
      </c>
      <c r="AN37">
        <f t="shared" si="0"/>
        <v>0</v>
      </c>
      <c r="AO37">
        <f t="shared" si="0"/>
        <v>0</v>
      </c>
      <c r="AP37">
        <f t="shared" si="0"/>
        <v>0</v>
      </c>
      <c r="AQ37">
        <f t="shared" si="0"/>
        <v>11</v>
      </c>
      <c r="AR37">
        <f t="shared" si="0"/>
        <v>27</v>
      </c>
      <c r="AS37">
        <f t="shared" si="0"/>
        <v>4</v>
      </c>
      <c r="AT37">
        <f t="shared" si="0"/>
        <v>1</v>
      </c>
      <c r="AU37">
        <f t="shared" si="0"/>
        <v>19</v>
      </c>
      <c r="AV37">
        <f t="shared" si="0"/>
        <v>2</v>
      </c>
      <c r="AW37">
        <f t="shared" si="0"/>
        <v>0</v>
      </c>
      <c r="AX37">
        <f t="shared" si="0"/>
        <v>0</v>
      </c>
      <c r="AY37">
        <f t="shared" si="0"/>
        <v>2</v>
      </c>
      <c r="AZ37">
        <f t="shared" si="0"/>
        <v>2</v>
      </c>
      <c r="BA37">
        <f t="shared" si="0"/>
        <v>0</v>
      </c>
      <c r="BB37">
        <f t="shared" si="0"/>
        <v>0</v>
      </c>
      <c r="BC37">
        <f t="shared" si="0"/>
        <v>0</v>
      </c>
      <c r="BD37">
        <f t="shared" si="0"/>
        <v>5</v>
      </c>
      <c r="BE37">
        <f t="shared" si="0"/>
        <v>0</v>
      </c>
      <c r="BF37">
        <f t="shared" si="0"/>
        <v>0</v>
      </c>
      <c r="BG37">
        <f t="shared" si="0"/>
        <v>0</v>
      </c>
      <c r="BH37">
        <f t="shared" si="0"/>
        <v>9</v>
      </c>
      <c r="BI37">
        <f t="shared" si="0"/>
        <v>0</v>
      </c>
      <c r="BJ37">
        <f t="shared" si="0"/>
        <v>0</v>
      </c>
      <c r="BK37">
        <f t="shared" si="0"/>
        <v>9</v>
      </c>
      <c r="BL37">
        <f t="shared" si="0"/>
        <v>8</v>
      </c>
      <c r="BM37">
        <f t="shared" si="0"/>
        <v>0</v>
      </c>
      <c r="CE37"/>
    </row>
    <row r="38" spans="1:83" x14ac:dyDescent="0.25">
      <c r="A38" s="1" t="s">
        <v>835</v>
      </c>
    </row>
    <row r="39" spans="1:83" x14ac:dyDescent="0.25">
      <c r="A39" s="1" t="s">
        <v>837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6" style="1" bestFit="1" customWidth="1"/>
    <col min="2" max="116" width="11.28515625" customWidth="1"/>
    <col min="117" max="125" width="11.28515625" bestFit="1" customWidth="1"/>
  </cols>
  <sheetData>
    <row r="1" spans="1:65" s="13" customFormat="1" x14ac:dyDescent="0.25">
      <c r="A1" s="12" t="s">
        <v>297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298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299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300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301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1</v>
      </c>
      <c r="AM6">
        <v>1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1</v>
      </c>
      <c r="AU6">
        <v>1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1</v>
      </c>
      <c r="BL6">
        <v>1</v>
      </c>
      <c r="BM6">
        <v>0</v>
      </c>
    </row>
    <row r="7" spans="1:65" x14ac:dyDescent="0.25">
      <c r="A7" s="1" t="s">
        <v>302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303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</row>
    <row r="9" spans="1:65" x14ac:dyDescent="0.25">
      <c r="A9" s="1" t="s">
        <v>304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</row>
    <row r="10" spans="1:65" x14ac:dyDescent="0.25">
      <c r="A10" s="1" t="s">
        <v>305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306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307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</row>
    <row r="13" spans="1:65" x14ac:dyDescent="0.25">
      <c r="A13" s="1" t="s">
        <v>308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1</v>
      </c>
      <c r="BL13">
        <v>1</v>
      </c>
      <c r="BM13">
        <v>0</v>
      </c>
    </row>
    <row r="14" spans="1:65" x14ac:dyDescent="0.25">
      <c r="A14" s="1" t="s">
        <v>309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310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</row>
    <row r="16" spans="1:65" x14ac:dyDescent="0.25">
      <c r="A16" s="1" t="s">
        <v>311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312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313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314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315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316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317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</row>
    <row r="23" spans="1:65" x14ac:dyDescent="0.25">
      <c r="A23" s="1" t="s">
        <v>318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1</v>
      </c>
      <c r="BM23">
        <v>0</v>
      </c>
    </row>
    <row r="24" spans="1:65" x14ac:dyDescent="0.25">
      <c r="A24" s="1" t="s">
        <v>319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320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1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0</v>
      </c>
      <c r="BC25">
        <v>1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1</v>
      </c>
      <c r="BM25">
        <v>0</v>
      </c>
    </row>
    <row r="26" spans="1:65" x14ac:dyDescent="0.25">
      <c r="A26" s="1" t="s">
        <v>321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322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323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s="1" t="s">
        <v>324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1</v>
      </c>
      <c r="BM29">
        <v>0</v>
      </c>
    </row>
    <row r="30" spans="1:65" x14ac:dyDescent="0.25">
      <c r="A30" s="1" t="s">
        <v>325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1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326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1</v>
      </c>
      <c r="AL31">
        <v>1</v>
      </c>
      <c r="AM31">
        <v>1</v>
      </c>
      <c r="AN31">
        <v>0</v>
      </c>
      <c r="AO31">
        <v>1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0</v>
      </c>
    </row>
    <row r="32" spans="1:65" x14ac:dyDescent="0.25">
      <c r="A32" s="1" t="s">
        <v>153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0</v>
      </c>
      <c r="O32">
        <v>1</v>
      </c>
      <c r="P32">
        <v>0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0</v>
      </c>
    </row>
    <row r="33" spans="1:183" x14ac:dyDescent="0.25">
      <c r="A33" s="1" t="s">
        <v>327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183" x14ac:dyDescent="0.25">
      <c r="GA34" s="8"/>
    </row>
    <row r="35" spans="1:183" x14ac:dyDescent="0.25">
      <c r="A35" s="1" t="s">
        <v>834</v>
      </c>
      <c r="B35">
        <f>SUM(B3:B33)</f>
        <v>14</v>
      </c>
      <c r="C35">
        <f t="shared" ref="C35:BM35" si="0">SUM(C3:C33)</f>
        <v>0</v>
      </c>
      <c r="D35">
        <f t="shared" si="0"/>
        <v>0</v>
      </c>
      <c r="E35">
        <f t="shared" si="0"/>
        <v>0</v>
      </c>
      <c r="F35">
        <f t="shared" si="0"/>
        <v>0</v>
      </c>
      <c r="G35">
        <f t="shared" si="0"/>
        <v>0</v>
      </c>
      <c r="H35">
        <f t="shared" si="0"/>
        <v>0</v>
      </c>
      <c r="I35">
        <f t="shared" si="0"/>
        <v>5</v>
      </c>
      <c r="J35">
        <f t="shared" si="0"/>
        <v>16</v>
      </c>
      <c r="K35">
        <f t="shared" si="0"/>
        <v>1</v>
      </c>
      <c r="L35">
        <f t="shared" si="0"/>
        <v>5</v>
      </c>
      <c r="M35">
        <f t="shared" si="0"/>
        <v>7</v>
      </c>
      <c r="N35">
        <f t="shared" si="0"/>
        <v>13</v>
      </c>
      <c r="O35">
        <f t="shared" si="0"/>
        <v>6</v>
      </c>
      <c r="P35">
        <f t="shared" si="0"/>
        <v>2</v>
      </c>
      <c r="Q35">
        <f t="shared" si="0"/>
        <v>2</v>
      </c>
      <c r="R35">
        <f t="shared" si="0"/>
        <v>9</v>
      </c>
      <c r="S35">
        <f t="shared" si="0"/>
        <v>5</v>
      </c>
      <c r="T35">
        <f t="shared" si="0"/>
        <v>17</v>
      </c>
      <c r="U35">
        <f t="shared" si="0"/>
        <v>4</v>
      </c>
      <c r="V35">
        <f t="shared" si="0"/>
        <v>5</v>
      </c>
      <c r="W35">
        <f t="shared" si="0"/>
        <v>5</v>
      </c>
      <c r="X35">
        <f t="shared" si="0"/>
        <v>1</v>
      </c>
      <c r="Y35">
        <f t="shared" si="0"/>
        <v>0</v>
      </c>
      <c r="Z35">
        <f t="shared" si="0"/>
        <v>1</v>
      </c>
      <c r="AA35">
        <f t="shared" si="0"/>
        <v>0</v>
      </c>
      <c r="AB35">
        <f t="shared" si="0"/>
        <v>7</v>
      </c>
      <c r="AC35">
        <f t="shared" si="0"/>
        <v>0</v>
      </c>
      <c r="AD35">
        <f t="shared" si="0"/>
        <v>0</v>
      </c>
      <c r="AE35">
        <f t="shared" si="0"/>
        <v>5</v>
      </c>
      <c r="AF35">
        <f t="shared" si="0"/>
        <v>1</v>
      </c>
      <c r="AG35">
        <f t="shared" si="0"/>
        <v>2</v>
      </c>
      <c r="AH35">
        <f t="shared" si="0"/>
        <v>0</v>
      </c>
      <c r="AI35">
        <f t="shared" si="0"/>
        <v>1</v>
      </c>
      <c r="AJ35">
        <f t="shared" si="0"/>
        <v>6</v>
      </c>
      <c r="AK35">
        <f t="shared" si="0"/>
        <v>29</v>
      </c>
      <c r="AL35">
        <f t="shared" si="0"/>
        <v>9</v>
      </c>
      <c r="AM35">
        <f t="shared" si="0"/>
        <v>4</v>
      </c>
      <c r="AN35">
        <f t="shared" si="0"/>
        <v>0</v>
      </c>
      <c r="AO35">
        <f t="shared" si="0"/>
        <v>4</v>
      </c>
      <c r="AP35">
        <f t="shared" si="0"/>
        <v>1</v>
      </c>
      <c r="AQ35">
        <f t="shared" si="0"/>
        <v>9</v>
      </c>
      <c r="AR35">
        <f t="shared" si="0"/>
        <v>23</v>
      </c>
      <c r="AS35">
        <f t="shared" si="0"/>
        <v>2</v>
      </c>
      <c r="AT35">
        <f t="shared" si="0"/>
        <v>7</v>
      </c>
      <c r="AU35">
        <f t="shared" si="0"/>
        <v>26</v>
      </c>
      <c r="AV35">
        <f t="shared" si="0"/>
        <v>2</v>
      </c>
      <c r="AW35">
        <f t="shared" si="0"/>
        <v>0</v>
      </c>
      <c r="AX35">
        <f t="shared" si="0"/>
        <v>0</v>
      </c>
      <c r="AY35">
        <f t="shared" si="0"/>
        <v>3</v>
      </c>
      <c r="AZ35">
        <f t="shared" si="0"/>
        <v>0</v>
      </c>
      <c r="BA35">
        <f t="shared" si="0"/>
        <v>2</v>
      </c>
      <c r="BB35">
        <f t="shared" si="0"/>
        <v>0</v>
      </c>
      <c r="BC35">
        <f t="shared" si="0"/>
        <v>3</v>
      </c>
      <c r="BD35">
        <f t="shared" si="0"/>
        <v>4</v>
      </c>
      <c r="BE35">
        <f t="shared" si="0"/>
        <v>1</v>
      </c>
      <c r="BF35">
        <f t="shared" si="0"/>
        <v>0</v>
      </c>
      <c r="BG35">
        <f t="shared" si="0"/>
        <v>0</v>
      </c>
      <c r="BH35">
        <f t="shared" si="0"/>
        <v>12</v>
      </c>
      <c r="BI35">
        <f t="shared" si="0"/>
        <v>0</v>
      </c>
      <c r="BJ35">
        <f t="shared" si="0"/>
        <v>0</v>
      </c>
      <c r="BK35">
        <f t="shared" si="0"/>
        <v>4</v>
      </c>
      <c r="BL35">
        <f t="shared" si="0"/>
        <v>12</v>
      </c>
      <c r="BM35">
        <f t="shared" si="0"/>
        <v>0</v>
      </c>
    </row>
    <row r="36" spans="1:183" x14ac:dyDescent="0.25">
      <c r="A36" s="1" t="s">
        <v>835</v>
      </c>
    </row>
    <row r="37" spans="1:183" x14ac:dyDescent="0.25">
      <c r="A37" s="1" t="s">
        <v>837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63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" style="1" bestFit="1" customWidth="1"/>
    <col min="2" max="114" width="11.28515625" customWidth="1"/>
    <col min="115" max="169" width="11.28515625" bestFit="1" customWidth="1"/>
  </cols>
  <sheetData>
    <row r="1" spans="1:65" s="13" customFormat="1" x14ac:dyDescent="0.25">
      <c r="A1" s="12" t="s">
        <v>336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328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65" x14ac:dyDescent="0.25">
      <c r="A4" s="1" t="s">
        <v>329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330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331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332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333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334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335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337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1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</row>
    <row r="12" spans="1:65" x14ac:dyDescent="0.25">
      <c r="A12" s="1" t="s">
        <v>338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0</v>
      </c>
    </row>
    <row r="13" spans="1:65" x14ac:dyDescent="0.25">
      <c r="A13" s="1" t="s">
        <v>339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340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1</v>
      </c>
      <c r="S14">
        <v>1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</row>
    <row r="15" spans="1:65" x14ac:dyDescent="0.25">
      <c r="A15" s="1" t="s">
        <v>341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1</v>
      </c>
      <c r="AK15">
        <v>1</v>
      </c>
      <c r="AL15">
        <v>1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s="1" t="s">
        <v>342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343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344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345</v>
      </c>
      <c r="B19">
        <v>1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0</v>
      </c>
      <c r="BM19">
        <v>0</v>
      </c>
    </row>
    <row r="20" spans="1:65" x14ac:dyDescent="0.25">
      <c r="A20" s="1" t="s">
        <v>346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347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348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</row>
    <row r="23" spans="1:65" x14ac:dyDescent="0.25">
      <c r="A23" s="1" t="s">
        <v>349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350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</row>
    <row r="26" spans="1:65" x14ac:dyDescent="0.25">
      <c r="A26" s="1" t="s">
        <v>834</v>
      </c>
      <c r="B26">
        <f>SUM(B3:B24)</f>
        <v>10</v>
      </c>
      <c r="C26">
        <f t="shared" ref="C26:BM26" si="0">SUM(C3:C24)</f>
        <v>2</v>
      </c>
      <c r="D26">
        <f t="shared" si="0"/>
        <v>0</v>
      </c>
      <c r="E26">
        <f t="shared" si="0"/>
        <v>1</v>
      </c>
      <c r="F26">
        <f t="shared" si="0"/>
        <v>0</v>
      </c>
      <c r="G26">
        <f t="shared" si="0"/>
        <v>0</v>
      </c>
      <c r="H26">
        <f t="shared" si="0"/>
        <v>1</v>
      </c>
      <c r="I26">
        <f t="shared" si="0"/>
        <v>1</v>
      </c>
      <c r="J26">
        <f t="shared" si="0"/>
        <v>11</v>
      </c>
      <c r="K26">
        <f t="shared" si="0"/>
        <v>1</v>
      </c>
      <c r="L26">
        <f t="shared" si="0"/>
        <v>2</v>
      </c>
      <c r="M26">
        <f t="shared" si="0"/>
        <v>1</v>
      </c>
      <c r="N26">
        <f t="shared" si="0"/>
        <v>7</v>
      </c>
      <c r="O26">
        <f t="shared" si="0"/>
        <v>6</v>
      </c>
      <c r="P26">
        <f t="shared" si="0"/>
        <v>0</v>
      </c>
      <c r="Q26">
        <f t="shared" si="0"/>
        <v>0</v>
      </c>
      <c r="R26">
        <f t="shared" si="0"/>
        <v>7</v>
      </c>
      <c r="S26">
        <f t="shared" si="0"/>
        <v>1</v>
      </c>
      <c r="T26">
        <f t="shared" si="0"/>
        <v>8</v>
      </c>
      <c r="U26">
        <f t="shared" si="0"/>
        <v>5</v>
      </c>
      <c r="V26">
        <f t="shared" si="0"/>
        <v>3</v>
      </c>
      <c r="W26">
        <f t="shared" si="0"/>
        <v>3</v>
      </c>
      <c r="X26">
        <f t="shared" si="0"/>
        <v>0</v>
      </c>
      <c r="Y26">
        <f t="shared" si="0"/>
        <v>0</v>
      </c>
      <c r="Z26">
        <f t="shared" si="0"/>
        <v>1</v>
      </c>
      <c r="AA26">
        <f t="shared" si="0"/>
        <v>3</v>
      </c>
      <c r="AB26">
        <f t="shared" si="0"/>
        <v>0</v>
      </c>
      <c r="AC26">
        <f t="shared" si="0"/>
        <v>0</v>
      </c>
      <c r="AD26">
        <f t="shared" si="0"/>
        <v>0</v>
      </c>
      <c r="AE26">
        <f t="shared" si="0"/>
        <v>2</v>
      </c>
      <c r="AF26">
        <f t="shared" si="0"/>
        <v>0</v>
      </c>
      <c r="AG26">
        <f t="shared" si="0"/>
        <v>0</v>
      </c>
      <c r="AH26">
        <f t="shared" si="0"/>
        <v>0</v>
      </c>
      <c r="AI26">
        <f t="shared" si="0"/>
        <v>2</v>
      </c>
      <c r="AJ26">
        <f t="shared" si="0"/>
        <v>1</v>
      </c>
      <c r="AK26">
        <f t="shared" si="0"/>
        <v>19</v>
      </c>
      <c r="AL26">
        <f t="shared" si="0"/>
        <v>4</v>
      </c>
      <c r="AM26">
        <f t="shared" si="0"/>
        <v>1</v>
      </c>
      <c r="AN26">
        <f t="shared" si="0"/>
        <v>0</v>
      </c>
      <c r="AO26">
        <f t="shared" si="0"/>
        <v>0</v>
      </c>
      <c r="AP26">
        <f t="shared" si="0"/>
        <v>1</v>
      </c>
      <c r="AQ26">
        <f t="shared" si="0"/>
        <v>2</v>
      </c>
      <c r="AR26">
        <f t="shared" si="0"/>
        <v>13</v>
      </c>
      <c r="AS26">
        <f t="shared" si="0"/>
        <v>0</v>
      </c>
      <c r="AT26">
        <f t="shared" si="0"/>
        <v>2</v>
      </c>
      <c r="AU26">
        <f t="shared" si="0"/>
        <v>13</v>
      </c>
      <c r="AV26">
        <f t="shared" si="0"/>
        <v>2</v>
      </c>
      <c r="AW26">
        <f t="shared" si="0"/>
        <v>0</v>
      </c>
      <c r="AX26">
        <f t="shared" si="0"/>
        <v>0</v>
      </c>
      <c r="AY26">
        <f t="shared" si="0"/>
        <v>2</v>
      </c>
      <c r="AZ26">
        <f t="shared" si="0"/>
        <v>0</v>
      </c>
      <c r="BA26">
        <f t="shared" si="0"/>
        <v>1</v>
      </c>
      <c r="BB26">
        <f t="shared" si="0"/>
        <v>0</v>
      </c>
      <c r="BC26">
        <f t="shared" si="0"/>
        <v>2</v>
      </c>
      <c r="BD26">
        <f t="shared" si="0"/>
        <v>3</v>
      </c>
      <c r="BE26">
        <f t="shared" si="0"/>
        <v>0</v>
      </c>
      <c r="BF26">
        <f t="shared" si="0"/>
        <v>0</v>
      </c>
      <c r="BG26">
        <f t="shared" si="0"/>
        <v>0</v>
      </c>
      <c r="BH26">
        <f t="shared" si="0"/>
        <v>10</v>
      </c>
      <c r="BI26">
        <f t="shared" si="0"/>
        <v>0</v>
      </c>
      <c r="BJ26">
        <f t="shared" si="0"/>
        <v>0</v>
      </c>
      <c r="BK26">
        <f t="shared" si="0"/>
        <v>2</v>
      </c>
      <c r="BL26">
        <f t="shared" si="0"/>
        <v>4</v>
      </c>
      <c r="BM26">
        <f t="shared" si="0"/>
        <v>0</v>
      </c>
    </row>
    <row r="27" spans="1:65" x14ac:dyDescent="0.25">
      <c r="A27" s="1" t="s">
        <v>835</v>
      </c>
    </row>
    <row r="28" spans="1:65" x14ac:dyDescent="0.25">
      <c r="A28" s="1" t="s">
        <v>837</v>
      </c>
    </row>
    <row r="29" spans="1:65" s="13" customFormat="1" x14ac:dyDescent="0.25">
      <c r="A29" s="12" t="s">
        <v>351</v>
      </c>
    </row>
    <row r="30" spans="1:65" s="15" customFormat="1" x14ac:dyDescent="0.25">
      <c r="A30" s="15" t="s">
        <v>0</v>
      </c>
      <c r="B30" s="15" t="s">
        <v>880</v>
      </c>
      <c r="C30" s="15" t="s">
        <v>881</v>
      </c>
      <c r="D30" s="15" t="s">
        <v>882</v>
      </c>
      <c r="E30" s="15" t="s">
        <v>883</v>
      </c>
      <c r="F30" s="15" t="s">
        <v>884</v>
      </c>
      <c r="G30" s="15" t="s">
        <v>885</v>
      </c>
      <c r="H30" s="15" t="s">
        <v>886</v>
      </c>
      <c r="I30" s="15" t="s">
        <v>893</v>
      </c>
      <c r="J30" s="15" t="s">
        <v>887</v>
      </c>
      <c r="K30" s="15" t="s">
        <v>888</v>
      </c>
      <c r="L30" s="15" t="s">
        <v>889</v>
      </c>
      <c r="M30" s="15" t="s">
        <v>890</v>
      </c>
      <c r="N30" s="15" t="s">
        <v>891</v>
      </c>
      <c r="O30" s="15" t="s">
        <v>892</v>
      </c>
      <c r="P30" s="15" t="s">
        <v>894</v>
      </c>
      <c r="Q30" s="15" t="s">
        <v>895</v>
      </c>
      <c r="R30" s="15" t="s">
        <v>896</v>
      </c>
      <c r="S30" s="15" t="s">
        <v>897</v>
      </c>
      <c r="T30" s="15" t="s">
        <v>898</v>
      </c>
      <c r="U30" s="15" t="s">
        <v>899</v>
      </c>
      <c r="V30" s="15" t="s">
        <v>900</v>
      </c>
      <c r="W30" s="15" t="s">
        <v>901</v>
      </c>
      <c r="X30" s="15" t="s">
        <v>902</v>
      </c>
      <c r="Y30" s="15" t="s">
        <v>903</v>
      </c>
      <c r="Z30" s="15" t="s">
        <v>904</v>
      </c>
      <c r="AA30" s="15" t="s">
        <v>905</v>
      </c>
      <c r="AB30" s="15" t="s">
        <v>906</v>
      </c>
      <c r="AC30" s="15" t="s">
        <v>907</v>
      </c>
      <c r="AD30" s="15" t="s">
        <v>908</v>
      </c>
      <c r="AE30" s="15" t="s">
        <v>909</v>
      </c>
      <c r="AF30" s="15" t="s">
        <v>910</v>
      </c>
      <c r="AG30" s="15" t="s">
        <v>911</v>
      </c>
      <c r="AH30" s="15" t="s">
        <v>912</v>
      </c>
      <c r="AI30" s="15" t="s">
        <v>913</v>
      </c>
      <c r="AJ30" s="15" t="s">
        <v>914</v>
      </c>
      <c r="AK30" s="15" t="s">
        <v>915</v>
      </c>
      <c r="AL30" s="15" t="s">
        <v>916</v>
      </c>
      <c r="AM30" s="15" t="s">
        <v>917</v>
      </c>
      <c r="AN30" s="15" t="s">
        <v>918</v>
      </c>
      <c r="AO30" s="15" t="s">
        <v>919</v>
      </c>
      <c r="AP30" s="15" t="s">
        <v>920</v>
      </c>
      <c r="AQ30" s="15" t="s">
        <v>921</v>
      </c>
      <c r="AR30" s="15" t="s">
        <v>922</v>
      </c>
      <c r="AS30" s="15" t="s">
        <v>923</v>
      </c>
      <c r="AT30" s="15" t="s">
        <v>924</v>
      </c>
      <c r="AU30" s="15" t="s">
        <v>925</v>
      </c>
      <c r="AV30" s="15" t="s">
        <v>926</v>
      </c>
      <c r="AW30" s="15" t="s">
        <v>927</v>
      </c>
      <c r="AX30" s="15" t="s">
        <v>928</v>
      </c>
      <c r="AY30" s="15" t="s">
        <v>929</v>
      </c>
      <c r="AZ30" s="15" t="s">
        <v>930</v>
      </c>
      <c r="BA30" s="15" t="s">
        <v>931</v>
      </c>
      <c r="BB30" s="15" t="s">
        <v>932</v>
      </c>
      <c r="BC30" s="15" t="s">
        <v>933</v>
      </c>
      <c r="BD30" s="15" t="s">
        <v>934</v>
      </c>
      <c r="BE30" s="15" t="s">
        <v>935</v>
      </c>
      <c r="BF30" s="15" t="s">
        <v>936</v>
      </c>
      <c r="BG30" s="15" t="s">
        <v>937</v>
      </c>
      <c r="BH30" s="15" t="s">
        <v>938</v>
      </c>
      <c r="BI30" s="15" t="s">
        <v>939</v>
      </c>
      <c r="BJ30" s="15" t="s">
        <v>940</v>
      </c>
      <c r="BK30" s="15" t="s">
        <v>941</v>
      </c>
      <c r="BL30" s="15" t="s">
        <v>942</v>
      </c>
      <c r="BM30" s="15" t="s">
        <v>943</v>
      </c>
    </row>
    <row r="31" spans="1:65" x14ac:dyDescent="0.25">
      <c r="A31" s="1" t="s">
        <v>352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0</v>
      </c>
      <c r="BK31">
        <v>1</v>
      </c>
      <c r="BL31">
        <v>0</v>
      </c>
      <c r="BM31">
        <v>0</v>
      </c>
    </row>
    <row r="32" spans="1:65" x14ac:dyDescent="0.25">
      <c r="A32" s="1" t="s">
        <v>353</v>
      </c>
      <c r="B32">
        <v>0</v>
      </c>
      <c r="C32">
        <v>1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0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1</v>
      </c>
      <c r="AA32">
        <v>1</v>
      </c>
      <c r="AB32">
        <v>1</v>
      </c>
      <c r="AC32">
        <v>0</v>
      </c>
      <c r="AD32">
        <v>0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0</v>
      </c>
      <c r="BA32">
        <v>1</v>
      </c>
      <c r="BB32">
        <v>0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0</v>
      </c>
      <c r="BK32">
        <v>1</v>
      </c>
      <c r="BL32">
        <v>1</v>
      </c>
      <c r="BM32">
        <v>0</v>
      </c>
    </row>
    <row r="33" spans="1:65" x14ac:dyDescent="0.25">
      <c r="A33" s="1" t="s">
        <v>354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355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</row>
    <row r="35" spans="1:65" x14ac:dyDescent="0.25">
      <c r="A35" s="1" t="s">
        <v>356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357</v>
      </c>
      <c r="B36">
        <v>1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</row>
    <row r="37" spans="1:65" x14ac:dyDescent="0.25">
      <c r="A37" s="1" t="s">
        <v>358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359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360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361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1</v>
      </c>
      <c r="AE40">
        <v>1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1</v>
      </c>
      <c r="AL40">
        <v>1</v>
      </c>
      <c r="AM40">
        <v>1</v>
      </c>
      <c r="AN40">
        <v>0</v>
      </c>
      <c r="AO40">
        <v>1</v>
      </c>
      <c r="AP40">
        <v>0</v>
      </c>
      <c r="AQ40">
        <v>1</v>
      </c>
      <c r="AR40">
        <v>1</v>
      </c>
      <c r="AS40">
        <v>0</v>
      </c>
      <c r="AT40">
        <v>1</v>
      </c>
      <c r="AU40">
        <v>1</v>
      </c>
      <c r="AV40">
        <v>1</v>
      </c>
      <c r="AW40">
        <v>1</v>
      </c>
      <c r="AX40">
        <v>0</v>
      </c>
      <c r="AY40">
        <v>0</v>
      </c>
      <c r="AZ40">
        <v>1</v>
      </c>
      <c r="BA40">
        <v>1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</row>
    <row r="41" spans="1:65" x14ac:dyDescent="0.25">
      <c r="A41" s="1" t="s">
        <v>362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363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364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365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366</v>
      </c>
      <c r="B45">
        <v>0</v>
      </c>
      <c r="C45">
        <v>1</v>
      </c>
      <c r="D45">
        <v>0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1</v>
      </c>
      <c r="N45">
        <v>1</v>
      </c>
      <c r="O45">
        <v>0</v>
      </c>
      <c r="P45">
        <v>1</v>
      </c>
      <c r="Q45">
        <v>1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1</v>
      </c>
      <c r="AJ45">
        <v>0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1</v>
      </c>
      <c r="BM45">
        <v>0</v>
      </c>
    </row>
    <row r="46" spans="1:65" x14ac:dyDescent="0.25">
      <c r="A46" s="1" t="s">
        <v>367</v>
      </c>
      <c r="B46">
        <v>0</v>
      </c>
      <c r="C46">
        <v>1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1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1</v>
      </c>
      <c r="BL46">
        <v>1</v>
      </c>
      <c r="BM46">
        <v>0</v>
      </c>
    </row>
    <row r="47" spans="1:65" x14ac:dyDescent="0.25">
      <c r="A47" s="1" t="s">
        <v>368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369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118" x14ac:dyDescent="0.25">
      <c r="A49" s="1" t="s">
        <v>370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118" x14ac:dyDescent="0.25">
      <c r="A50" s="1" t="s">
        <v>371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1</v>
      </c>
      <c r="AF50">
        <v>0</v>
      </c>
      <c r="AG50">
        <v>1</v>
      </c>
      <c r="AH50">
        <v>0</v>
      </c>
      <c r="AI50">
        <v>1</v>
      </c>
      <c r="AJ50">
        <v>0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1</v>
      </c>
      <c r="AU50">
        <v>1</v>
      </c>
      <c r="AV50">
        <v>1</v>
      </c>
      <c r="AW50">
        <v>1</v>
      </c>
      <c r="AX50">
        <v>0</v>
      </c>
      <c r="AY50">
        <v>1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0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</row>
    <row r="51" spans="1:118" x14ac:dyDescent="0.25">
      <c r="A51" s="1" t="s">
        <v>372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118" x14ac:dyDescent="0.25">
      <c r="A52" s="1" t="s">
        <v>373</v>
      </c>
      <c r="B52">
        <v>1</v>
      </c>
      <c r="C52">
        <v>0</v>
      </c>
      <c r="D52">
        <v>0</v>
      </c>
      <c r="E52">
        <v>1</v>
      </c>
      <c r="F52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  <c r="AM52">
        <v>1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0</v>
      </c>
      <c r="BM52">
        <v>0</v>
      </c>
    </row>
    <row r="53" spans="1:118" x14ac:dyDescent="0.25">
      <c r="A53" s="1" t="s">
        <v>374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118" x14ac:dyDescent="0.25">
      <c r="A54" s="1" t="s">
        <v>375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118" x14ac:dyDescent="0.25">
      <c r="A55" s="1" t="s">
        <v>376</v>
      </c>
      <c r="B55">
        <v>0</v>
      </c>
      <c r="C55">
        <v>1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1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1</v>
      </c>
      <c r="AK55">
        <v>1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118" x14ac:dyDescent="0.25">
      <c r="A56" s="1" t="s">
        <v>377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118" x14ac:dyDescent="0.25">
      <c r="A57" s="1" t="s">
        <v>378</v>
      </c>
      <c r="B57">
        <v>0</v>
      </c>
      <c r="C57">
        <v>1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1</v>
      </c>
      <c r="M57">
        <v>1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</row>
    <row r="58" spans="1:118" x14ac:dyDescent="0.25">
      <c r="A58" s="1" t="s">
        <v>379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118" x14ac:dyDescent="0.25">
      <c r="A59" s="1" t="s">
        <v>380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</row>
    <row r="60" spans="1:118" x14ac:dyDescent="0.25">
      <c r="DN60" s="6"/>
    </row>
    <row r="61" spans="1:118" x14ac:dyDescent="0.25">
      <c r="A61" s="1" t="s">
        <v>834</v>
      </c>
      <c r="B61">
        <f>SUM(B31:B59)</f>
        <v>9</v>
      </c>
      <c r="C61">
        <f t="shared" ref="C61:BM61" si="1">SUM(C31:C59)</f>
        <v>8</v>
      </c>
      <c r="D61">
        <f t="shared" si="1"/>
        <v>4</v>
      </c>
      <c r="E61">
        <f t="shared" si="1"/>
        <v>6</v>
      </c>
      <c r="F61">
        <f t="shared" si="1"/>
        <v>6</v>
      </c>
      <c r="G61">
        <f t="shared" si="1"/>
        <v>2</v>
      </c>
      <c r="H61">
        <f t="shared" si="1"/>
        <v>0</v>
      </c>
      <c r="I61">
        <f t="shared" si="1"/>
        <v>3</v>
      </c>
      <c r="J61">
        <f t="shared" si="1"/>
        <v>11</v>
      </c>
      <c r="K61">
        <f t="shared" si="1"/>
        <v>3</v>
      </c>
      <c r="L61">
        <f t="shared" si="1"/>
        <v>9</v>
      </c>
      <c r="M61">
        <f t="shared" si="1"/>
        <v>10</v>
      </c>
      <c r="N61">
        <f t="shared" si="1"/>
        <v>10</v>
      </c>
      <c r="O61">
        <f t="shared" si="1"/>
        <v>7</v>
      </c>
      <c r="P61">
        <f t="shared" si="1"/>
        <v>7</v>
      </c>
      <c r="Q61">
        <f t="shared" si="1"/>
        <v>7</v>
      </c>
      <c r="R61">
        <f t="shared" si="1"/>
        <v>8</v>
      </c>
      <c r="S61">
        <f t="shared" si="1"/>
        <v>7</v>
      </c>
      <c r="T61">
        <f t="shared" si="1"/>
        <v>13</v>
      </c>
      <c r="U61">
        <f t="shared" si="1"/>
        <v>9</v>
      </c>
      <c r="V61">
        <f t="shared" si="1"/>
        <v>5</v>
      </c>
      <c r="W61">
        <f t="shared" si="1"/>
        <v>7</v>
      </c>
      <c r="X61">
        <f t="shared" si="1"/>
        <v>2</v>
      </c>
      <c r="Y61">
        <f t="shared" si="1"/>
        <v>1</v>
      </c>
      <c r="Z61">
        <f t="shared" si="1"/>
        <v>1</v>
      </c>
      <c r="AA61">
        <f t="shared" si="1"/>
        <v>3</v>
      </c>
      <c r="AB61">
        <f t="shared" si="1"/>
        <v>6</v>
      </c>
      <c r="AC61">
        <f t="shared" si="1"/>
        <v>0</v>
      </c>
      <c r="AD61">
        <f t="shared" si="1"/>
        <v>9</v>
      </c>
      <c r="AE61">
        <f t="shared" si="1"/>
        <v>6</v>
      </c>
      <c r="AF61">
        <f t="shared" si="1"/>
        <v>1</v>
      </c>
      <c r="AG61">
        <f t="shared" si="1"/>
        <v>5</v>
      </c>
      <c r="AH61">
        <f t="shared" si="1"/>
        <v>1</v>
      </c>
      <c r="AI61">
        <f t="shared" si="1"/>
        <v>7</v>
      </c>
      <c r="AJ61">
        <f t="shared" si="1"/>
        <v>2</v>
      </c>
      <c r="AK61">
        <f t="shared" si="1"/>
        <v>29</v>
      </c>
      <c r="AL61">
        <f t="shared" si="1"/>
        <v>11</v>
      </c>
      <c r="AM61">
        <f t="shared" si="1"/>
        <v>6</v>
      </c>
      <c r="AN61">
        <f t="shared" si="1"/>
        <v>1</v>
      </c>
      <c r="AO61">
        <f t="shared" si="1"/>
        <v>2</v>
      </c>
      <c r="AP61">
        <f t="shared" si="1"/>
        <v>1</v>
      </c>
      <c r="AQ61">
        <f t="shared" si="1"/>
        <v>11</v>
      </c>
      <c r="AR61">
        <f t="shared" si="1"/>
        <v>25</v>
      </c>
      <c r="AS61">
        <f t="shared" si="1"/>
        <v>1</v>
      </c>
      <c r="AT61">
        <f t="shared" si="1"/>
        <v>6</v>
      </c>
      <c r="AU61">
        <f t="shared" si="1"/>
        <v>14</v>
      </c>
      <c r="AV61">
        <f t="shared" si="1"/>
        <v>5</v>
      </c>
      <c r="AW61">
        <f t="shared" si="1"/>
        <v>5</v>
      </c>
      <c r="AX61">
        <f t="shared" si="1"/>
        <v>0</v>
      </c>
      <c r="AY61">
        <f t="shared" si="1"/>
        <v>2</v>
      </c>
      <c r="AZ61">
        <f t="shared" si="1"/>
        <v>8</v>
      </c>
      <c r="BA61">
        <f t="shared" si="1"/>
        <v>6</v>
      </c>
      <c r="BB61">
        <f t="shared" si="1"/>
        <v>0</v>
      </c>
      <c r="BC61">
        <f t="shared" si="1"/>
        <v>8</v>
      </c>
      <c r="BD61">
        <f t="shared" si="1"/>
        <v>9</v>
      </c>
      <c r="BE61">
        <f t="shared" si="1"/>
        <v>5</v>
      </c>
      <c r="BF61">
        <f t="shared" si="1"/>
        <v>3</v>
      </c>
      <c r="BG61">
        <f t="shared" si="1"/>
        <v>2</v>
      </c>
      <c r="BH61">
        <f t="shared" si="1"/>
        <v>12</v>
      </c>
      <c r="BI61">
        <f t="shared" si="1"/>
        <v>6</v>
      </c>
      <c r="BJ61">
        <f t="shared" si="1"/>
        <v>3</v>
      </c>
      <c r="BK61">
        <f t="shared" si="1"/>
        <v>9</v>
      </c>
      <c r="BL61">
        <f t="shared" si="1"/>
        <v>6</v>
      </c>
      <c r="BM61">
        <f t="shared" si="1"/>
        <v>2</v>
      </c>
    </row>
    <row r="62" spans="1:118" x14ac:dyDescent="0.25">
      <c r="A62" s="1" t="s">
        <v>835</v>
      </c>
    </row>
    <row r="63" spans="1:118" x14ac:dyDescent="0.25">
      <c r="A63" s="1" t="s">
        <v>837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1.85546875" style="1" bestFit="1" customWidth="1"/>
    <col min="2" max="120" width="11.28515625" customWidth="1"/>
    <col min="121" max="153" width="11.28515625" bestFit="1" customWidth="1"/>
  </cols>
  <sheetData>
    <row r="1" spans="1:65" s="13" customFormat="1" x14ac:dyDescent="0.25">
      <c r="A1" s="12" t="s">
        <v>381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382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65" x14ac:dyDescent="0.25">
      <c r="A4" s="1" t="s">
        <v>383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384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1</v>
      </c>
      <c r="AM5">
        <v>1</v>
      </c>
      <c r="AN5">
        <v>1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1</v>
      </c>
      <c r="AV5">
        <v>1</v>
      </c>
      <c r="AW5">
        <v>1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</v>
      </c>
      <c r="BK5">
        <v>1</v>
      </c>
      <c r="BL5">
        <v>1</v>
      </c>
      <c r="BM5">
        <v>1</v>
      </c>
    </row>
    <row r="6" spans="1:65" x14ac:dyDescent="0.25">
      <c r="A6" s="1" t="s">
        <v>385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1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386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387</v>
      </c>
      <c r="B8">
        <v>1</v>
      </c>
      <c r="C8">
        <v>0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1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</row>
    <row r="9" spans="1:65" x14ac:dyDescent="0.25">
      <c r="A9" s="1" t="s">
        <v>388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389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1</v>
      </c>
      <c r="N10">
        <v>1</v>
      </c>
      <c r="O10">
        <v>0</v>
      </c>
      <c r="P10">
        <v>1</v>
      </c>
      <c r="Q10">
        <v>1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1</v>
      </c>
      <c r="BL10">
        <v>0</v>
      </c>
      <c r="BM10">
        <v>0</v>
      </c>
    </row>
    <row r="11" spans="1:65" x14ac:dyDescent="0.25">
      <c r="A11" s="1" t="s">
        <v>390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1</v>
      </c>
      <c r="AV11">
        <v>1</v>
      </c>
      <c r="AW11">
        <v>1</v>
      </c>
      <c r="AX11">
        <v>0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1</v>
      </c>
      <c r="BL11">
        <v>1</v>
      </c>
      <c r="BM11">
        <v>1</v>
      </c>
    </row>
    <row r="12" spans="1:65" x14ac:dyDescent="0.25">
      <c r="A12" s="1" t="s">
        <v>391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0</v>
      </c>
      <c r="W12">
        <v>1</v>
      </c>
      <c r="X12">
        <v>0</v>
      </c>
      <c r="Y12">
        <v>0</v>
      </c>
      <c r="Z12">
        <v>1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1</v>
      </c>
      <c r="BL12">
        <v>1</v>
      </c>
      <c r="BM12">
        <v>0</v>
      </c>
    </row>
    <row r="13" spans="1:65" x14ac:dyDescent="0.25">
      <c r="A13" s="1" t="s">
        <v>392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393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0</v>
      </c>
    </row>
    <row r="15" spans="1:65" x14ac:dyDescent="0.25">
      <c r="A15" s="1" t="s">
        <v>394</v>
      </c>
      <c r="B15">
        <v>0</v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1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1</v>
      </c>
      <c r="BM15">
        <v>0</v>
      </c>
    </row>
    <row r="16" spans="1:65" x14ac:dyDescent="0.25">
      <c r="A16" s="1" t="s">
        <v>395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1</v>
      </c>
      <c r="BI16">
        <v>1</v>
      </c>
      <c r="BJ16">
        <v>0</v>
      </c>
      <c r="BK16">
        <v>1</v>
      </c>
      <c r="BL16">
        <v>1</v>
      </c>
      <c r="BM16">
        <v>0</v>
      </c>
    </row>
    <row r="17" spans="1:65" x14ac:dyDescent="0.25">
      <c r="A17" s="1" t="s">
        <v>396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</row>
    <row r="18" spans="1:65" x14ac:dyDescent="0.25">
      <c r="A18" s="1" t="s">
        <v>397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0</v>
      </c>
      <c r="BM18">
        <v>0</v>
      </c>
    </row>
    <row r="19" spans="1:65" x14ac:dyDescent="0.25">
      <c r="A19" s="1" t="s">
        <v>398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0</v>
      </c>
      <c r="AY19">
        <v>1</v>
      </c>
      <c r="AZ19">
        <v>1</v>
      </c>
      <c r="BA19">
        <v>1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1</v>
      </c>
    </row>
    <row r="20" spans="1:65" x14ac:dyDescent="0.25">
      <c r="A20" s="1" t="s">
        <v>399</v>
      </c>
      <c r="B20">
        <v>1</v>
      </c>
      <c r="C20">
        <v>1</v>
      </c>
      <c r="D20">
        <v>1</v>
      </c>
      <c r="E20">
        <v>1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1</v>
      </c>
      <c r="AF20">
        <v>0</v>
      </c>
      <c r="AG20">
        <v>1</v>
      </c>
      <c r="AH20">
        <v>0</v>
      </c>
      <c r="AI20">
        <v>0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0</v>
      </c>
      <c r="BC20">
        <v>1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1</v>
      </c>
      <c r="BM20">
        <v>0</v>
      </c>
    </row>
    <row r="21" spans="1:65" x14ac:dyDescent="0.25">
      <c r="A21" s="1" t="s">
        <v>400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</row>
    <row r="22" spans="1:65" x14ac:dyDescent="0.25">
      <c r="A22" s="1" t="s">
        <v>401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0</v>
      </c>
    </row>
    <row r="23" spans="1:65" x14ac:dyDescent="0.25">
      <c r="A23" s="1" t="s">
        <v>402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403</v>
      </c>
      <c r="B24">
        <v>1</v>
      </c>
      <c r="C24">
        <v>1</v>
      </c>
      <c r="D24">
        <v>1</v>
      </c>
      <c r="E24">
        <v>0</v>
      </c>
      <c r="F24">
        <v>0</v>
      </c>
      <c r="G24">
        <v>1</v>
      </c>
      <c r="H24">
        <v>1</v>
      </c>
      <c r="I24">
        <v>1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1</v>
      </c>
      <c r="S24">
        <v>1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1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0</v>
      </c>
      <c r="BC24">
        <v>1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</row>
    <row r="25" spans="1:65" x14ac:dyDescent="0.25">
      <c r="A25" s="1" t="s">
        <v>404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405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406</v>
      </c>
      <c r="B27">
        <v>1</v>
      </c>
      <c r="C27">
        <v>0</v>
      </c>
      <c r="D27">
        <v>1</v>
      </c>
      <c r="E27">
        <v>1</v>
      </c>
      <c r="F27">
        <v>1</v>
      </c>
      <c r="G27">
        <v>1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0</v>
      </c>
      <c r="Y27">
        <v>0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1</v>
      </c>
      <c r="BL27">
        <v>1</v>
      </c>
      <c r="BM27">
        <v>0</v>
      </c>
    </row>
    <row r="29" spans="1:65" x14ac:dyDescent="0.25">
      <c r="A29" s="1" t="s">
        <v>834</v>
      </c>
      <c r="B29">
        <f>SUM(B3:B27)</f>
        <v>19</v>
      </c>
      <c r="C29">
        <f t="shared" ref="C29:BM29" si="0">SUM(C3:C27)</f>
        <v>7</v>
      </c>
      <c r="D29">
        <f t="shared" si="0"/>
        <v>15</v>
      </c>
      <c r="E29">
        <f t="shared" si="0"/>
        <v>7</v>
      </c>
      <c r="F29">
        <f t="shared" si="0"/>
        <v>7</v>
      </c>
      <c r="G29">
        <f t="shared" si="0"/>
        <v>6</v>
      </c>
      <c r="H29">
        <f t="shared" si="0"/>
        <v>8</v>
      </c>
      <c r="I29">
        <f t="shared" si="0"/>
        <v>8</v>
      </c>
      <c r="J29">
        <f t="shared" si="0"/>
        <v>25</v>
      </c>
      <c r="K29">
        <f t="shared" si="0"/>
        <v>9</v>
      </c>
      <c r="L29">
        <f t="shared" si="0"/>
        <v>9</v>
      </c>
      <c r="M29">
        <f t="shared" si="0"/>
        <v>14</v>
      </c>
      <c r="N29">
        <f t="shared" si="0"/>
        <v>16</v>
      </c>
      <c r="O29">
        <f t="shared" si="0"/>
        <v>14</v>
      </c>
      <c r="P29">
        <f t="shared" si="0"/>
        <v>4</v>
      </c>
      <c r="Q29">
        <f t="shared" si="0"/>
        <v>4</v>
      </c>
      <c r="R29">
        <f t="shared" si="0"/>
        <v>12</v>
      </c>
      <c r="S29">
        <f t="shared" si="0"/>
        <v>11</v>
      </c>
      <c r="T29">
        <f t="shared" si="0"/>
        <v>25</v>
      </c>
      <c r="U29">
        <f t="shared" si="0"/>
        <v>10</v>
      </c>
      <c r="V29">
        <f t="shared" si="0"/>
        <v>9</v>
      </c>
      <c r="W29">
        <f t="shared" si="0"/>
        <v>12</v>
      </c>
      <c r="X29">
        <f t="shared" si="0"/>
        <v>7</v>
      </c>
      <c r="Y29">
        <f t="shared" si="0"/>
        <v>3</v>
      </c>
      <c r="Z29">
        <f t="shared" si="0"/>
        <v>7</v>
      </c>
      <c r="AA29">
        <f t="shared" si="0"/>
        <v>8</v>
      </c>
      <c r="AB29">
        <f t="shared" si="0"/>
        <v>13</v>
      </c>
      <c r="AC29">
        <f t="shared" si="0"/>
        <v>1</v>
      </c>
      <c r="AD29">
        <f t="shared" si="0"/>
        <v>6</v>
      </c>
      <c r="AE29">
        <f t="shared" si="0"/>
        <v>9</v>
      </c>
      <c r="AF29">
        <f t="shared" si="0"/>
        <v>5</v>
      </c>
      <c r="AG29">
        <f t="shared" si="0"/>
        <v>7</v>
      </c>
      <c r="AH29">
        <f t="shared" si="0"/>
        <v>7</v>
      </c>
      <c r="AI29">
        <f t="shared" si="0"/>
        <v>12</v>
      </c>
      <c r="AJ29">
        <f t="shared" si="0"/>
        <v>9</v>
      </c>
      <c r="AK29">
        <f t="shared" si="0"/>
        <v>25</v>
      </c>
      <c r="AL29">
        <f t="shared" si="0"/>
        <v>13</v>
      </c>
      <c r="AM29">
        <f t="shared" si="0"/>
        <v>10</v>
      </c>
      <c r="AN29">
        <f t="shared" si="0"/>
        <v>2</v>
      </c>
      <c r="AO29">
        <f t="shared" si="0"/>
        <v>2</v>
      </c>
      <c r="AP29">
        <f t="shared" si="0"/>
        <v>3</v>
      </c>
      <c r="AQ29">
        <f t="shared" si="0"/>
        <v>13</v>
      </c>
      <c r="AR29">
        <f t="shared" si="0"/>
        <v>25</v>
      </c>
      <c r="AS29">
        <f t="shared" si="0"/>
        <v>10</v>
      </c>
      <c r="AT29">
        <f t="shared" si="0"/>
        <v>8</v>
      </c>
      <c r="AU29">
        <f t="shared" si="0"/>
        <v>16</v>
      </c>
      <c r="AV29">
        <f t="shared" si="0"/>
        <v>8</v>
      </c>
      <c r="AW29">
        <f t="shared" si="0"/>
        <v>4</v>
      </c>
      <c r="AX29">
        <f t="shared" si="0"/>
        <v>1</v>
      </c>
      <c r="AY29">
        <f t="shared" si="0"/>
        <v>8</v>
      </c>
      <c r="AZ29">
        <f t="shared" si="0"/>
        <v>11</v>
      </c>
      <c r="BA29">
        <f t="shared" si="0"/>
        <v>8</v>
      </c>
      <c r="BB29">
        <f t="shared" si="0"/>
        <v>3</v>
      </c>
      <c r="BC29">
        <f t="shared" si="0"/>
        <v>11</v>
      </c>
      <c r="BD29">
        <f t="shared" si="0"/>
        <v>10</v>
      </c>
      <c r="BE29">
        <f t="shared" si="0"/>
        <v>4</v>
      </c>
      <c r="BF29">
        <f t="shared" si="0"/>
        <v>2</v>
      </c>
      <c r="BG29">
        <f t="shared" si="0"/>
        <v>5</v>
      </c>
      <c r="BH29">
        <f t="shared" si="0"/>
        <v>18</v>
      </c>
      <c r="BI29">
        <f t="shared" si="0"/>
        <v>4</v>
      </c>
      <c r="BJ29">
        <f t="shared" si="0"/>
        <v>0</v>
      </c>
      <c r="BK29">
        <f t="shared" si="0"/>
        <v>13</v>
      </c>
      <c r="BL29">
        <f t="shared" si="0"/>
        <v>13</v>
      </c>
      <c r="BM29">
        <f t="shared" si="0"/>
        <v>3</v>
      </c>
    </row>
    <row r="30" spans="1:65" x14ac:dyDescent="0.25">
      <c r="A30" s="1" t="s">
        <v>835</v>
      </c>
    </row>
    <row r="31" spans="1:65" x14ac:dyDescent="0.25">
      <c r="A31" s="1" t="s">
        <v>837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style="1" customWidth="1"/>
    <col min="2" max="115" width="11.28515625" customWidth="1"/>
    <col min="116" max="151" width="11.28515625" bestFit="1" customWidth="1"/>
  </cols>
  <sheetData>
    <row r="1" spans="1:65" s="13" customFormat="1" x14ac:dyDescent="0.25">
      <c r="A1" s="12" t="s">
        <v>407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408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65" x14ac:dyDescent="0.25">
      <c r="A4" s="1" t="s">
        <v>409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410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411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412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413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414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415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</row>
    <row r="11" spans="1:65" x14ac:dyDescent="0.25">
      <c r="A11" s="1" t="s">
        <v>416</v>
      </c>
      <c r="B11">
        <v>1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417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418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0</v>
      </c>
      <c r="L13">
        <v>0</v>
      </c>
      <c r="M13">
        <v>1</v>
      </c>
      <c r="N13">
        <v>1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1</v>
      </c>
      <c r="BM13">
        <v>0</v>
      </c>
    </row>
    <row r="14" spans="1:65" x14ac:dyDescent="0.25">
      <c r="A14" s="1" t="s">
        <v>419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1</v>
      </c>
      <c r="BM14">
        <v>0</v>
      </c>
    </row>
    <row r="15" spans="1:65" x14ac:dyDescent="0.25">
      <c r="A15" s="1" t="s">
        <v>420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</row>
    <row r="16" spans="1:65" x14ac:dyDescent="0.25">
      <c r="A16" s="1" t="s">
        <v>421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422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1</v>
      </c>
      <c r="BM17">
        <v>0</v>
      </c>
    </row>
    <row r="18" spans="1:65" x14ac:dyDescent="0.25">
      <c r="A18" s="1" t="s">
        <v>423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424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1</v>
      </c>
      <c r="BM19">
        <v>0</v>
      </c>
    </row>
    <row r="20" spans="1:65" x14ac:dyDescent="0.25">
      <c r="A20" s="1" t="s">
        <v>425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426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1</v>
      </c>
      <c r="BL21">
        <v>1</v>
      </c>
      <c r="BM21">
        <v>0</v>
      </c>
    </row>
    <row r="22" spans="1:65" x14ac:dyDescent="0.25">
      <c r="A22" s="1" t="s">
        <v>427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428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1</v>
      </c>
      <c r="N23">
        <v>1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1</v>
      </c>
      <c r="BL23">
        <v>0</v>
      </c>
      <c r="BM23">
        <v>0</v>
      </c>
    </row>
    <row r="24" spans="1:65" x14ac:dyDescent="0.25">
      <c r="A24" s="1" t="s">
        <v>429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430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431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432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433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</row>
    <row r="29" spans="1:65" x14ac:dyDescent="0.25">
      <c r="A29" s="1" t="s">
        <v>434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1</v>
      </c>
      <c r="BL29">
        <v>1</v>
      </c>
      <c r="BM29">
        <v>0</v>
      </c>
    </row>
    <row r="30" spans="1:65" x14ac:dyDescent="0.25">
      <c r="A30" s="1" t="s">
        <v>435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436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0</v>
      </c>
      <c r="BM32">
        <v>0</v>
      </c>
    </row>
    <row r="33" spans="1:65" x14ac:dyDescent="0.25">
      <c r="A33" s="1" t="s">
        <v>438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439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440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1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1</v>
      </c>
      <c r="BL35">
        <v>0</v>
      </c>
      <c r="BM35">
        <v>0</v>
      </c>
    </row>
    <row r="36" spans="1:65" x14ac:dyDescent="0.25">
      <c r="A36" s="1" t="s">
        <v>441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442</v>
      </c>
      <c r="B37">
        <v>1</v>
      </c>
      <c r="C37">
        <v>1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0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0</v>
      </c>
      <c r="AD37">
        <v>1</v>
      </c>
      <c r="AE37">
        <v>1</v>
      </c>
      <c r="AF37">
        <v>0</v>
      </c>
      <c r="AG37">
        <v>1</v>
      </c>
      <c r="AH37">
        <v>0</v>
      </c>
      <c r="AI37">
        <v>1</v>
      </c>
      <c r="AJ37">
        <v>1</v>
      </c>
      <c r="AK37">
        <v>1</v>
      </c>
      <c r="AL37">
        <v>0</v>
      </c>
      <c r="AM37">
        <v>1</v>
      </c>
      <c r="AN37">
        <v>0</v>
      </c>
      <c r="AO37">
        <v>0</v>
      </c>
      <c r="AP37">
        <v>1</v>
      </c>
      <c r="AQ37">
        <v>1</v>
      </c>
      <c r="AR37">
        <v>1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1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  <c r="BJ37">
        <v>0</v>
      </c>
      <c r="BK37">
        <v>1</v>
      </c>
      <c r="BL37">
        <v>1</v>
      </c>
      <c r="BM37">
        <v>0</v>
      </c>
    </row>
    <row r="38" spans="1:65" x14ac:dyDescent="0.25">
      <c r="A38" s="1" t="s">
        <v>443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444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445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446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1</v>
      </c>
      <c r="N41">
        <v>1</v>
      </c>
      <c r="O41">
        <v>1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1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>
        <v>1</v>
      </c>
      <c r="BM41">
        <v>0</v>
      </c>
    </row>
    <row r="42" spans="1:65" x14ac:dyDescent="0.25">
      <c r="A42" s="1" t="s">
        <v>447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</row>
    <row r="43" spans="1:65" x14ac:dyDescent="0.25">
      <c r="A43" s="1" t="s">
        <v>448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0</v>
      </c>
    </row>
    <row r="44" spans="1:65" x14ac:dyDescent="0.25">
      <c r="A44" s="1" t="s">
        <v>449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1</v>
      </c>
      <c r="BL44">
        <v>0</v>
      </c>
      <c r="BM44">
        <v>0</v>
      </c>
    </row>
    <row r="45" spans="1:65" x14ac:dyDescent="0.25">
      <c r="A45" s="1" t="s">
        <v>450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1</v>
      </c>
      <c r="S45">
        <v>1</v>
      </c>
      <c r="T45">
        <v>1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</row>
    <row r="46" spans="1:65" x14ac:dyDescent="0.25">
      <c r="A46" s="1" t="s">
        <v>451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1</v>
      </c>
      <c r="BM46">
        <v>0</v>
      </c>
    </row>
    <row r="47" spans="1:65" x14ac:dyDescent="0.25">
      <c r="A47" s="1" t="s">
        <v>452</v>
      </c>
      <c r="B47">
        <v>1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1</v>
      </c>
      <c r="BL47">
        <v>1</v>
      </c>
      <c r="BM47">
        <v>0</v>
      </c>
    </row>
    <row r="48" spans="1:65" x14ac:dyDescent="0.25">
      <c r="A48" s="1" t="s">
        <v>453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1</v>
      </c>
      <c r="BL48">
        <v>0</v>
      </c>
      <c r="BM48">
        <v>0</v>
      </c>
    </row>
    <row r="49" spans="1:65" x14ac:dyDescent="0.25">
      <c r="A49" s="1" t="s">
        <v>454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>
        <v>0</v>
      </c>
      <c r="R49">
        <v>1</v>
      </c>
      <c r="S49">
        <v>0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1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1</v>
      </c>
      <c r="BM49">
        <v>0</v>
      </c>
    </row>
    <row r="50" spans="1:65" x14ac:dyDescent="0.25">
      <c r="A50" s="1" t="s">
        <v>455</v>
      </c>
      <c r="B50">
        <v>0</v>
      </c>
      <c r="C50">
        <v>0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s="1" t="s">
        <v>456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s="1" t="s">
        <v>457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s="1" t="s">
        <v>458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0</v>
      </c>
    </row>
    <row r="54" spans="1:65" x14ac:dyDescent="0.25">
      <c r="A54" s="1" t="s">
        <v>459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1</v>
      </c>
      <c r="AV54">
        <v>0</v>
      </c>
      <c r="AW54">
        <v>1</v>
      </c>
      <c r="AX54">
        <v>0</v>
      </c>
      <c r="AY54">
        <v>0</v>
      </c>
      <c r="AZ54">
        <v>1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1</v>
      </c>
      <c r="BL54">
        <v>1</v>
      </c>
      <c r="BM54">
        <v>0</v>
      </c>
    </row>
    <row r="55" spans="1:65" x14ac:dyDescent="0.25">
      <c r="A55" s="1" t="s">
        <v>460</v>
      </c>
      <c r="B55">
        <v>1</v>
      </c>
      <c r="C55">
        <v>0</v>
      </c>
      <c r="D55">
        <v>0</v>
      </c>
      <c r="E55">
        <v>0</v>
      </c>
      <c r="F55">
        <v>1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</row>
    <row r="56" spans="1:65" x14ac:dyDescent="0.25">
      <c r="A56" s="1" t="s">
        <v>461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s="1" t="s">
        <v>462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1</v>
      </c>
      <c r="AU57">
        <v>1</v>
      </c>
      <c r="AV57">
        <v>1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1</v>
      </c>
      <c r="BL57">
        <v>1</v>
      </c>
      <c r="BM57">
        <v>0</v>
      </c>
    </row>
    <row r="58" spans="1:65" x14ac:dyDescent="0.25">
      <c r="A58" s="1" t="s">
        <v>463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1</v>
      </c>
      <c r="BM58">
        <v>0</v>
      </c>
    </row>
    <row r="59" spans="1:65" x14ac:dyDescent="0.25">
      <c r="A59" s="1" t="s">
        <v>464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s="1" t="s">
        <v>465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1</v>
      </c>
      <c r="BM60">
        <v>0</v>
      </c>
    </row>
    <row r="61" spans="1:65" x14ac:dyDescent="0.25">
      <c r="A61" s="1" t="s">
        <v>466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25">
      <c r="A62" s="1" t="s">
        <v>467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468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0</v>
      </c>
    </row>
    <row r="64" spans="1:65" x14ac:dyDescent="0.25">
      <c r="A64" s="1" t="s">
        <v>469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0</v>
      </c>
    </row>
    <row r="65" spans="1:65" x14ac:dyDescent="0.25">
      <c r="A65" s="1" t="s">
        <v>470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</row>
    <row r="66" spans="1:65" x14ac:dyDescent="0.25">
      <c r="A66" s="1" t="s">
        <v>471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</row>
    <row r="67" spans="1:65" x14ac:dyDescent="0.25">
      <c r="A67" s="1" t="s">
        <v>472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</row>
    <row r="68" spans="1:65" x14ac:dyDescent="0.25">
      <c r="A68" s="1" t="s">
        <v>473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 x14ac:dyDescent="0.25">
      <c r="A69" s="1" t="s">
        <v>474</v>
      </c>
      <c r="B69">
        <v>1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1</v>
      </c>
      <c r="N69">
        <v>1</v>
      </c>
      <c r="O69">
        <v>1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1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1</v>
      </c>
      <c r="BL69">
        <v>1</v>
      </c>
      <c r="BM69">
        <v>0</v>
      </c>
    </row>
    <row r="70" spans="1:65" x14ac:dyDescent="0.25">
      <c r="A70" s="1" t="s">
        <v>475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0</v>
      </c>
    </row>
    <row r="71" spans="1:65" x14ac:dyDescent="0.25">
      <c r="A71" s="1" t="s">
        <v>476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1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1</v>
      </c>
      <c r="AN71">
        <v>0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1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1</v>
      </c>
      <c r="BD71">
        <v>1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1</v>
      </c>
      <c r="BL71">
        <v>0</v>
      </c>
      <c r="BM71">
        <v>0</v>
      </c>
    </row>
    <row r="72" spans="1:65" x14ac:dyDescent="0.25">
      <c r="A72" s="1" t="s">
        <v>477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</row>
    <row r="73" spans="1:65" x14ac:dyDescent="0.25">
      <c r="A73" s="1" t="s">
        <v>478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0</v>
      </c>
    </row>
    <row r="74" spans="1:65" x14ac:dyDescent="0.25">
      <c r="A74" s="1" t="s">
        <v>479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 x14ac:dyDescent="0.25">
      <c r="A75" s="1" t="s">
        <v>480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 x14ac:dyDescent="0.25">
      <c r="A76" s="1" t="s">
        <v>481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K76">
        <v>0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1</v>
      </c>
      <c r="AV76">
        <v>0</v>
      </c>
      <c r="AW76">
        <v>1</v>
      </c>
      <c r="AX76">
        <v>0</v>
      </c>
      <c r="AY76">
        <v>1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1</v>
      </c>
      <c r="BL76">
        <v>0</v>
      </c>
      <c r="BM76">
        <v>0</v>
      </c>
    </row>
    <row r="77" spans="1:65" x14ac:dyDescent="0.25">
      <c r="A77" s="1" t="s">
        <v>482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</row>
    <row r="78" spans="1:65" x14ac:dyDescent="0.25">
      <c r="A78" s="1" t="s">
        <v>483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1</v>
      </c>
      <c r="BL78">
        <v>1</v>
      </c>
      <c r="BM78">
        <v>0</v>
      </c>
    </row>
    <row r="79" spans="1:65" x14ac:dyDescent="0.25">
      <c r="A79" s="1" t="s">
        <v>316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</row>
    <row r="80" spans="1:65" x14ac:dyDescent="0.25">
      <c r="A80" s="1" t="s">
        <v>484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 x14ac:dyDescent="0.25">
      <c r="A81" s="1" t="s">
        <v>485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</row>
    <row r="82" spans="1:65" x14ac:dyDescent="0.25">
      <c r="A82" s="1" t="s">
        <v>486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</row>
    <row r="83" spans="1:65" x14ac:dyDescent="0.25">
      <c r="A83" s="1" t="s">
        <v>487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 x14ac:dyDescent="0.25">
      <c r="A84" s="1" t="s">
        <v>488</v>
      </c>
      <c r="B84">
        <v>0</v>
      </c>
      <c r="C84">
        <v>0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</row>
    <row r="85" spans="1:65" x14ac:dyDescent="0.25">
      <c r="A85" s="1" t="s">
        <v>489</v>
      </c>
      <c r="B85">
        <v>1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1</v>
      </c>
      <c r="AU85">
        <v>1</v>
      </c>
      <c r="AV85">
        <v>0</v>
      </c>
      <c r="AW85">
        <v>1</v>
      </c>
      <c r="AX85">
        <v>1</v>
      </c>
      <c r="AY85">
        <v>0</v>
      </c>
      <c r="AZ85">
        <v>1</v>
      </c>
      <c r="BA85">
        <v>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>
        <v>0</v>
      </c>
      <c r="BM85">
        <v>0</v>
      </c>
    </row>
    <row r="86" spans="1:65" x14ac:dyDescent="0.25">
      <c r="A86" s="1" t="s">
        <v>490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0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</row>
    <row r="87" spans="1:65" x14ac:dyDescent="0.25">
      <c r="A87" s="1" t="s">
        <v>491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0</v>
      </c>
    </row>
    <row r="88" spans="1:65" x14ac:dyDescent="0.25">
      <c r="A88" s="1" t="s">
        <v>325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</row>
    <row r="89" spans="1:65" x14ac:dyDescent="0.25">
      <c r="A89" s="1" t="s">
        <v>492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 x14ac:dyDescent="0.25">
      <c r="A90" s="1" t="s">
        <v>493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</row>
    <row r="91" spans="1:65" x14ac:dyDescent="0.25">
      <c r="A91" s="1" t="s">
        <v>494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0</v>
      </c>
      <c r="AT91">
        <v>0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</row>
    <row r="92" spans="1:65" x14ac:dyDescent="0.25">
      <c r="A92" s="1" t="s">
        <v>495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</row>
    <row r="93" spans="1:65" x14ac:dyDescent="0.25">
      <c r="A93" s="1" t="s">
        <v>496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</row>
    <row r="94" spans="1:65" x14ac:dyDescent="0.25">
      <c r="A94" s="1" t="s">
        <v>497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 x14ac:dyDescent="0.25">
      <c r="A95" s="1" t="s">
        <v>498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1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1</v>
      </c>
      <c r="AU95">
        <v>1</v>
      </c>
      <c r="AV95">
        <v>1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1</v>
      </c>
      <c r="BM95">
        <v>0</v>
      </c>
    </row>
    <row r="96" spans="1:65" x14ac:dyDescent="0.25">
      <c r="A96" s="1" t="s">
        <v>499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1</v>
      </c>
      <c r="BL96">
        <v>1</v>
      </c>
      <c r="BM96">
        <v>0</v>
      </c>
    </row>
    <row r="97" spans="1:65" x14ac:dyDescent="0.25">
      <c r="A97" s="1" t="s">
        <v>500</v>
      </c>
      <c r="B97">
        <v>1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 x14ac:dyDescent="0.25">
      <c r="A98" s="1" t="s">
        <v>501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</row>
    <row r="99" spans="1:65" x14ac:dyDescent="0.25">
      <c r="A99" s="1" t="s">
        <v>502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1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0</v>
      </c>
      <c r="BL99">
        <v>1</v>
      </c>
      <c r="BM99">
        <v>0</v>
      </c>
    </row>
    <row r="100" spans="1:65" x14ac:dyDescent="0.25">
      <c r="A100" s="1" t="s">
        <v>503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1</v>
      </c>
      <c r="BM100">
        <v>0</v>
      </c>
    </row>
    <row r="101" spans="1:65" x14ac:dyDescent="0.25">
      <c r="A101" s="1" t="s">
        <v>262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0</v>
      </c>
    </row>
    <row r="102" spans="1:65" x14ac:dyDescent="0.25">
      <c r="A102" s="1" t="s">
        <v>504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</row>
    <row r="103" spans="1:65" x14ac:dyDescent="0.25">
      <c r="A103" s="1" t="s">
        <v>505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 x14ac:dyDescent="0.25">
      <c r="A104" s="1" t="s">
        <v>348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1</v>
      </c>
      <c r="BM104">
        <v>0</v>
      </c>
    </row>
    <row r="105" spans="1:65" x14ac:dyDescent="0.25">
      <c r="A105" s="1" t="s">
        <v>856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s="9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</row>
    <row r="106" spans="1:65" x14ac:dyDescent="0.25">
      <c r="H106" s="8"/>
      <c r="I106" s="8"/>
      <c r="J106" s="8"/>
    </row>
    <row r="107" spans="1:65" x14ac:dyDescent="0.25">
      <c r="A107" s="1" t="s">
        <v>834</v>
      </c>
      <c r="B107">
        <f>SUM(B3:B105)</f>
        <v>51</v>
      </c>
      <c r="C107">
        <f t="shared" ref="C107:BM107" si="0">SUM(C3:C105)</f>
        <v>6</v>
      </c>
      <c r="D107">
        <f t="shared" si="0"/>
        <v>4</v>
      </c>
      <c r="E107">
        <f t="shared" si="0"/>
        <v>2</v>
      </c>
      <c r="F107">
        <f t="shared" si="0"/>
        <v>6</v>
      </c>
      <c r="G107">
        <f t="shared" si="0"/>
        <v>4</v>
      </c>
      <c r="H107">
        <f t="shared" si="0"/>
        <v>0</v>
      </c>
      <c r="I107">
        <f t="shared" si="0"/>
        <v>6</v>
      </c>
      <c r="J107">
        <f t="shared" si="0"/>
        <v>87</v>
      </c>
      <c r="K107">
        <f t="shared" si="0"/>
        <v>4</v>
      </c>
      <c r="L107">
        <f t="shared" si="0"/>
        <v>5</v>
      </c>
      <c r="M107">
        <f t="shared" si="0"/>
        <v>28</v>
      </c>
      <c r="N107">
        <f t="shared" si="0"/>
        <v>30</v>
      </c>
      <c r="O107">
        <f t="shared" si="0"/>
        <v>24</v>
      </c>
      <c r="P107">
        <f t="shared" si="0"/>
        <v>1</v>
      </c>
      <c r="Q107">
        <f t="shared" si="0"/>
        <v>1</v>
      </c>
      <c r="R107">
        <f t="shared" si="0"/>
        <v>17</v>
      </c>
      <c r="S107">
        <f t="shared" si="0"/>
        <v>18</v>
      </c>
      <c r="T107">
        <f t="shared" si="0"/>
        <v>62</v>
      </c>
      <c r="U107">
        <f t="shared" si="0"/>
        <v>6</v>
      </c>
      <c r="V107">
        <f t="shared" si="0"/>
        <v>5</v>
      </c>
      <c r="W107">
        <f t="shared" si="0"/>
        <v>12</v>
      </c>
      <c r="X107">
        <f t="shared" si="0"/>
        <v>2</v>
      </c>
      <c r="Y107">
        <f t="shared" si="0"/>
        <v>0</v>
      </c>
      <c r="Z107">
        <f t="shared" si="0"/>
        <v>5</v>
      </c>
      <c r="AA107">
        <f t="shared" si="0"/>
        <v>3</v>
      </c>
      <c r="AB107">
        <f t="shared" si="0"/>
        <v>10</v>
      </c>
      <c r="AC107">
        <f t="shared" si="0"/>
        <v>1</v>
      </c>
      <c r="AD107">
        <f t="shared" si="0"/>
        <v>3</v>
      </c>
      <c r="AE107">
        <f t="shared" si="0"/>
        <v>9</v>
      </c>
      <c r="AF107">
        <f t="shared" si="0"/>
        <v>1</v>
      </c>
      <c r="AG107">
        <f t="shared" si="0"/>
        <v>9</v>
      </c>
      <c r="AH107">
        <f t="shared" si="0"/>
        <v>1</v>
      </c>
      <c r="AI107">
        <f t="shared" si="0"/>
        <v>17</v>
      </c>
      <c r="AJ107">
        <f t="shared" si="0"/>
        <v>10</v>
      </c>
      <c r="AK107">
        <f t="shared" si="0"/>
        <v>103</v>
      </c>
      <c r="AL107">
        <f t="shared" si="0"/>
        <v>14</v>
      </c>
      <c r="AM107">
        <f t="shared" si="0"/>
        <v>9</v>
      </c>
      <c r="AN107">
        <f t="shared" si="0"/>
        <v>0</v>
      </c>
      <c r="AO107">
        <f t="shared" si="0"/>
        <v>3</v>
      </c>
      <c r="AP107">
        <f t="shared" si="0"/>
        <v>1</v>
      </c>
      <c r="AQ107">
        <f t="shared" si="0"/>
        <v>17</v>
      </c>
      <c r="AR107">
        <f t="shared" si="0"/>
        <v>97</v>
      </c>
      <c r="AS107">
        <f t="shared" si="0"/>
        <v>1</v>
      </c>
      <c r="AT107">
        <f t="shared" si="0"/>
        <v>5</v>
      </c>
      <c r="AU107">
        <f t="shared" si="0"/>
        <v>71</v>
      </c>
      <c r="AV107">
        <f t="shared" si="0"/>
        <v>10</v>
      </c>
      <c r="AW107">
        <f t="shared" si="0"/>
        <v>4</v>
      </c>
      <c r="AX107">
        <f t="shared" si="0"/>
        <v>1</v>
      </c>
      <c r="AY107">
        <f t="shared" si="0"/>
        <v>6</v>
      </c>
      <c r="AZ107">
        <f t="shared" si="0"/>
        <v>3</v>
      </c>
      <c r="BA107">
        <f t="shared" si="0"/>
        <v>4</v>
      </c>
      <c r="BB107">
        <f t="shared" si="0"/>
        <v>0</v>
      </c>
      <c r="BC107">
        <f t="shared" si="0"/>
        <v>3</v>
      </c>
      <c r="BD107">
        <f t="shared" si="0"/>
        <v>13</v>
      </c>
      <c r="BE107">
        <f t="shared" si="0"/>
        <v>1</v>
      </c>
      <c r="BF107">
        <f t="shared" si="0"/>
        <v>0</v>
      </c>
      <c r="BG107">
        <f t="shared" si="0"/>
        <v>0</v>
      </c>
      <c r="BH107">
        <f t="shared" si="0"/>
        <v>46</v>
      </c>
      <c r="BI107">
        <f t="shared" si="0"/>
        <v>2</v>
      </c>
      <c r="BJ107">
        <f t="shared" si="0"/>
        <v>0</v>
      </c>
      <c r="BK107">
        <f t="shared" si="0"/>
        <v>27</v>
      </c>
      <c r="BL107">
        <f t="shared" si="0"/>
        <v>29</v>
      </c>
      <c r="BM107">
        <f t="shared" si="0"/>
        <v>0</v>
      </c>
    </row>
    <row r="108" spans="1:65" x14ac:dyDescent="0.25">
      <c r="A108" s="1" t="s">
        <v>835</v>
      </c>
    </row>
    <row r="109" spans="1:65" x14ac:dyDescent="0.25">
      <c r="A109" s="1" t="s">
        <v>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9.7109375" style="1" bestFit="1" customWidth="1"/>
    <col min="2" max="112" width="11.28515625" customWidth="1"/>
    <col min="113" max="154" width="11.28515625" bestFit="1" customWidth="1"/>
  </cols>
  <sheetData>
    <row r="1" spans="1:65" s="13" customFormat="1" x14ac:dyDescent="0.25">
      <c r="A1" s="12" t="s">
        <v>506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507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0</v>
      </c>
      <c r="AT3">
        <v>1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</row>
    <row r="4" spans="1:65" x14ac:dyDescent="0.25">
      <c r="A4" s="1" t="s">
        <v>508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509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510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</row>
    <row r="7" spans="1:65" x14ac:dyDescent="0.25">
      <c r="A7" s="1" t="s">
        <v>511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512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1</v>
      </c>
      <c r="BI8">
        <v>0</v>
      </c>
      <c r="BJ8">
        <v>0</v>
      </c>
      <c r="BK8">
        <v>1</v>
      </c>
      <c r="BL8">
        <v>0</v>
      </c>
      <c r="BM8">
        <v>0</v>
      </c>
    </row>
    <row r="9" spans="1:65" x14ac:dyDescent="0.25">
      <c r="A9" s="1" t="s">
        <v>513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514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1</v>
      </c>
      <c r="O10">
        <v>1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0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515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0</v>
      </c>
    </row>
    <row r="12" spans="1:65" x14ac:dyDescent="0.25">
      <c r="A12" s="1" t="s">
        <v>516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517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1</v>
      </c>
      <c r="BM13">
        <v>0</v>
      </c>
    </row>
    <row r="14" spans="1:65" x14ac:dyDescent="0.25">
      <c r="A14" s="1" t="s">
        <v>419</v>
      </c>
      <c r="B14">
        <v>1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518</v>
      </c>
      <c r="B15">
        <v>0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0</v>
      </c>
      <c r="AT15">
        <v>1</v>
      </c>
      <c r="AU15">
        <v>1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0</v>
      </c>
    </row>
    <row r="16" spans="1:65" x14ac:dyDescent="0.25">
      <c r="A16" s="1" t="s">
        <v>519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520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521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1</v>
      </c>
      <c r="BL18">
        <v>1</v>
      </c>
      <c r="BM18">
        <v>0</v>
      </c>
    </row>
    <row r="19" spans="1:65" x14ac:dyDescent="0.25">
      <c r="A19" s="1" t="s">
        <v>431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s="1" t="s">
        <v>522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524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525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526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527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</row>
    <row r="26" spans="1:65" x14ac:dyDescent="0.25">
      <c r="A26" s="1" t="s">
        <v>528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1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529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s="1" t="s">
        <v>530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1</v>
      </c>
      <c r="S28">
        <v>0</v>
      </c>
      <c r="T28">
        <v>1</v>
      </c>
      <c r="U28">
        <v>1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1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1</v>
      </c>
      <c r="BM28">
        <v>0</v>
      </c>
    </row>
    <row r="29" spans="1:65" x14ac:dyDescent="0.25">
      <c r="A29" s="1" t="s">
        <v>864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s="1" t="s">
        <v>531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</row>
    <row r="31" spans="1:65" x14ac:dyDescent="0.25">
      <c r="A31" s="1" t="s">
        <v>532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533</v>
      </c>
      <c r="B32">
        <v>1</v>
      </c>
      <c r="C32">
        <v>1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1</v>
      </c>
      <c r="AL32">
        <v>1</v>
      </c>
      <c r="AM32">
        <v>1</v>
      </c>
      <c r="AN32">
        <v>0</v>
      </c>
      <c r="AO32">
        <v>1</v>
      </c>
      <c r="AP32">
        <v>1</v>
      </c>
      <c r="AQ32">
        <v>1</v>
      </c>
      <c r="AR32">
        <v>1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0</v>
      </c>
      <c r="AY32">
        <v>1</v>
      </c>
      <c r="AZ32">
        <v>1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1</v>
      </c>
      <c r="BL32">
        <v>1</v>
      </c>
      <c r="BM32">
        <v>0</v>
      </c>
    </row>
    <row r="33" spans="1:65" x14ac:dyDescent="0.25">
      <c r="A33" s="1" t="s">
        <v>534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535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</row>
    <row r="35" spans="1:65" x14ac:dyDescent="0.25">
      <c r="A35" s="1" t="s">
        <v>536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537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538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539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540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541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542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543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1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1</v>
      </c>
      <c r="BM42">
        <v>0</v>
      </c>
    </row>
    <row r="43" spans="1:65" x14ac:dyDescent="0.25">
      <c r="A43" s="1" t="s">
        <v>544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s="1" t="s">
        <v>545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128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</row>
    <row r="46" spans="1:65" x14ac:dyDescent="0.25">
      <c r="A46" s="1" t="s">
        <v>546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s="1" t="s">
        <v>547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0</v>
      </c>
    </row>
    <row r="48" spans="1:65" x14ac:dyDescent="0.25">
      <c r="A48" s="1" t="s">
        <v>548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549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1</v>
      </c>
      <c r="BM49">
        <v>0</v>
      </c>
    </row>
    <row r="50" spans="1:65" x14ac:dyDescent="0.25">
      <c r="A50" s="1" t="s">
        <v>550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s="1" t="s">
        <v>551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0</v>
      </c>
    </row>
    <row r="52" spans="1:65" x14ac:dyDescent="0.25">
      <c r="A52" s="1" t="s">
        <v>552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s="1" t="s">
        <v>553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1</v>
      </c>
      <c r="BL53">
        <v>1</v>
      </c>
      <c r="BM53">
        <v>0</v>
      </c>
    </row>
    <row r="54" spans="1:65" x14ac:dyDescent="0.25">
      <c r="A54" s="1" t="s">
        <v>554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65" x14ac:dyDescent="0.25">
      <c r="A55" s="1" t="s">
        <v>555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</row>
    <row r="56" spans="1:65" x14ac:dyDescent="0.25">
      <c r="A56" s="1" t="s">
        <v>556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65" x14ac:dyDescent="0.25">
      <c r="A57" s="1" t="s">
        <v>557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1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</row>
    <row r="58" spans="1:65" x14ac:dyDescent="0.25">
      <c r="A58" s="1" t="s">
        <v>558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</row>
    <row r="59" spans="1:65" x14ac:dyDescent="0.25">
      <c r="A59" s="1" t="s">
        <v>559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1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</row>
    <row r="60" spans="1:65" x14ac:dyDescent="0.25">
      <c r="A60" s="1" t="s">
        <v>560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1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</row>
    <row r="61" spans="1:65" x14ac:dyDescent="0.25">
      <c r="A61" s="1" t="s">
        <v>561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1</v>
      </c>
      <c r="M61">
        <v>0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1</v>
      </c>
      <c r="AL61">
        <v>1</v>
      </c>
      <c r="AM61">
        <v>1</v>
      </c>
      <c r="AN61">
        <v>0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1</v>
      </c>
      <c r="AV61">
        <v>1</v>
      </c>
      <c r="AW61">
        <v>0</v>
      </c>
      <c r="AX61">
        <v>0</v>
      </c>
      <c r="AY61">
        <v>1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</row>
    <row r="62" spans="1:65" x14ac:dyDescent="0.25">
      <c r="A62" s="1" t="s">
        <v>562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</row>
    <row r="63" spans="1:65" x14ac:dyDescent="0.25">
      <c r="A63" s="1" t="s">
        <v>563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</row>
    <row r="64" spans="1:65" x14ac:dyDescent="0.25">
      <c r="A64" s="1" t="s">
        <v>564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0</v>
      </c>
      <c r="M64">
        <v>1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>
        <v>1</v>
      </c>
      <c r="BM64">
        <v>0</v>
      </c>
    </row>
    <row r="65" spans="1:65" x14ac:dyDescent="0.25">
      <c r="A65" s="1" t="s">
        <v>565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1</v>
      </c>
      <c r="K65">
        <v>0</v>
      </c>
      <c r="L65">
        <v>1</v>
      </c>
      <c r="M65">
        <v>1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1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1</v>
      </c>
      <c r="BM65">
        <v>0</v>
      </c>
    </row>
    <row r="67" spans="1:65" x14ac:dyDescent="0.25">
      <c r="A67" s="1" t="s">
        <v>834</v>
      </c>
      <c r="B67">
        <f>SUM(B3:B65)</f>
        <v>25</v>
      </c>
      <c r="C67">
        <f t="shared" ref="C67:BM67" si="0">SUM(C3:C65)</f>
        <v>4</v>
      </c>
      <c r="D67">
        <f t="shared" si="0"/>
        <v>1</v>
      </c>
      <c r="E67">
        <f t="shared" si="0"/>
        <v>1</v>
      </c>
      <c r="F67">
        <f t="shared" si="0"/>
        <v>3</v>
      </c>
      <c r="G67">
        <f t="shared" si="0"/>
        <v>0</v>
      </c>
      <c r="H67">
        <f t="shared" si="0"/>
        <v>2</v>
      </c>
      <c r="I67">
        <f t="shared" si="0"/>
        <v>3</v>
      </c>
      <c r="J67">
        <f t="shared" si="0"/>
        <v>47</v>
      </c>
      <c r="K67">
        <f t="shared" si="0"/>
        <v>3</v>
      </c>
      <c r="L67">
        <f t="shared" si="0"/>
        <v>7</v>
      </c>
      <c r="M67">
        <f t="shared" si="0"/>
        <v>20</v>
      </c>
      <c r="N67">
        <f t="shared" si="0"/>
        <v>23</v>
      </c>
      <c r="O67">
        <f t="shared" si="0"/>
        <v>10</v>
      </c>
      <c r="P67">
        <f t="shared" si="0"/>
        <v>1</v>
      </c>
      <c r="Q67">
        <f t="shared" si="0"/>
        <v>1</v>
      </c>
      <c r="R67">
        <f t="shared" si="0"/>
        <v>9</v>
      </c>
      <c r="S67">
        <f t="shared" si="0"/>
        <v>8</v>
      </c>
      <c r="T67">
        <f t="shared" si="0"/>
        <v>24</v>
      </c>
      <c r="U67">
        <f t="shared" si="0"/>
        <v>4</v>
      </c>
      <c r="V67">
        <f t="shared" si="0"/>
        <v>1</v>
      </c>
      <c r="W67">
        <f t="shared" si="0"/>
        <v>5</v>
      </c>
      <c r="X67">
        <f t="shared" si="0"/>
        <v>0</v>
      </c>
      <c r="Y67">
        <f t="shared" si="0"/>
        <v>0</v>
      </c>
      <c r="Z67">
        <f t="shared" si="0"/>
        <v>2</v>
      </c>
      <c r="AA67">
        <f t="shared" si="0"/>
        <v>2</v>
      </c>
      <c r="AB67">
        <f t="shared" si="0"/>
        <v>9</v>
      </c>
      <c r="AC67">
        <f t="shared" si="0"/>
        <v>0</v>
      </c>
      <c r="AD67">
        <f t="shared" si="0"/>
        <v>1</v>
      </c>
      <c r="AE67">
        <f t="shared" si="0"/>
        <v>3</v>
      </c>
      <c r="AF67">
        <f t="shared" si="0"/>
        <v>0</v>
      </c>
      <c r="AG67">
        <f t="shared" si="0"/>
        <v>3</v>
      </c>
      <c r="AH67">
        <f t="shared" si="0"/>
        <v>1</v>
      </c>
      <c r="AI67">
        <f t="shared" si="0"/>
        <v>7</v>
      </c>
      <c r="AJ67">
        <f t="shared" si="0"/>
        <v>4</v>
      </c>
      <c r="AK67">
        <f t="shared" si="0"/>
        <v>61</v>
      </c>
      <c r="AL67">
        <f t="shared" si="0"/>
        <v>15</v>
      </c>
      <c r="AM67">
        <f t="shared" si="0"/>
        <v>4</v>
      </c>
      <c r="AN67">
        <f t="shared" si="0"/>
        <v>0</v>
      </c>
      <c r="AO67">
        <f t="shared" si="0"/>
        <v>3</v>
      </c>
      <c r="AP67">
        <f t="shared" si="0"/>
        <v>3</v>
      </c>
      <c r="AQ67">
        <f t="shared" si="0"/>
        <v>10</v>
      </c>
      <c r="AR67">
        <f t="shared" si="0"/>
        <v>63</v>
      </c>
      <c r="AS67">
        <f t="shared" si="0"/>
        <v>9</v>
      </c>
      <c r="AT67">
        <f t="shared" si="0"/>
        <v>2</v>
      </c>
      <c r="AU67">
        <f t="shared" si="0"/>
        <v>40</v>
      </c>
      <c r="AV67">
        <f t="shared" si="0"/>
        <v>7</v>
      </c>
      <c r="AW67">
        <f t="shared" si="0"/>
        <v>0</v>
      </c>
      <c r="AX67">
        <f t="shared" si="0"/>
        <v>0</v>
      </c>
      <c r="AY67">
        <f t="shared" si="0"/>
        <v>4</v>
      </c>
      <c r="AZ67">
        <f t="shared" si="0"/>
        <v>1</v>
      </c>
      <c r="BA67">
        <f t="shared" si="0"/>
        <v>4</v>
      </c>
      <c r="BB67">
        <f t="shared" si="0"/>
        <v>0</v>
      </c>
      <c r="BC67">
        <f t="shared" si="0"/>
        <v>2</v>
      </c>
      <c r="BD67">
        <f t="shared" si="0"/>
        <v>3</v>
      </c>
      <c r="BE67">
        <f t="shared" si="0"/>
        <v>0</v>
      </c>
      <c r="BF67">
        <f t="shared" si="0"/>
        <v>0</v>
      </c>
      <c r="BG67">
        <f t="shared" si="0"/>
        <v>0</v>
      </c>
      <c r="BH67">
        <f t="shared" si="0"/>
        <v>20</v>
      </c>
      <c r="BI67">
        <f t="shared" si="0"/>
        <v>0</v>
      </c>
      <c r="BJ67">
        <f t="shared" si="0"/>
        <v>0</v>
      </c>
      <c r="BK67">
        <f t="shared" si="0"/>
        <v>8</v>
      </c>
      <c r="BL67">
        <f t="shared" si="0"/>
        <v>20</v>
      </c>
      <c r="BM67">
        <f t="shared" si="0"/>
        <v>0</v>
      </c>
    </row>
    <row r="68" spans="1:65" x14ac:dyDescent="0.25">
      <c r="A68" s="1" t="s">
        <v>835</v>
      </c>
    </row>
    <row r="69" spans="1:65" x14ac:dyDescent="0.25">
      <c r="A69" s="1" t="s">
        <v>837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62"/>
  <sheetViews>
    <sheetView zoomScale="80" zoomScaleNormal="80" workbookViewId="0">
      <pane xSplit="1" topLeftCell="B1" activePane="topRight" state="frozen"/>
      <selection pane="topRight" activeCell="B1" sqref="B1"/>
    </sheetView>
  </sheetViews>
  <sheetFormatPr defaultRowHeight="15" x14ac:dyDescent="0.25"/>
  <cols>
    <col min="1" max="1" width="19.7109375" style="1" bestFit="1" customWidth="1"/>
    <col min="2" max="119" width="11.28515625" customWidth="1"/>
    <col min="120" max="160" width="11.28515625" bestFit="1" customWidth="1"/>
  </cols>
  <sheetData>
    <row r="1" spans="1:65" s="13" customFormat="1" x14ac:dyDescent="0.25">
      <c r="A1" s="12" t="s">
        <v>566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567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568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569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570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571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1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572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</row>
    <row r="9" spans="1:65" x14ac:dyDescent="0.25">
      <c r="A9" s="1" t="s">
        <v>573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574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575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576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577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578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6" spans="1:65" x14ac:dyDescent="0.25">
      <c r="A16" s="1" t="s">
        <v>834</v>
      </c>
      <c r="B16">
        <f>SUM(B3:B14)</f>
        <v>1</v>
      </c>
      <c r="C16">
        <f t="shared" ref="C16:BL16" si="0">SUM(C3:C14)</f>
        <v>0</v>
      </c>
      <c r="D16">
        <f t="shared" si="0"/>
        <v>0</v>
      </c>
      <c r="E16">
        <f t="shared" si="0"/>
        <v>0</v>
      </c>
      <c r="F16">
        <f t="shared" si="0"/>
        <v>1</v>
      </c>
      <c r="G16">
        <f t="shared" si="0"/>
        <v>0</v>
      </c>
      <c r="H16">
        <f t="shared" si="0"/>
        <v>0</v>
      </c>
      <c r="I16">
        <f t="shared" si="0"/>
        <v>0</v>
      </c>
      <c r="J16">
        <f t="shared" si="0"/>
        <v>4</v>
      </c>
      <c r="K16">
        <f t="shared" si="0"/>
        <v>0</v>
      </c>
      <c r="L16">
        <f t="shared" si="0"/>
        <v>0</v>
      </c>
      <c r="M16">
        <f t="shared" si="0"/>
        <v>0</v>
      </c>
      <c r="N16">
        <f t="shared" si="0"/>
        <v>3</v>
      </c>
      <c r="O16">
        <f t="shared" si="0"/>
        <v>1</v>
      </c>
      <c r="P16">
        <f t="shared" si="0"/>
        <v>0</v>
      </c>
      <c r="Q16">
        <f t="shared" si="0"/>
        <v>0</v>
      </c>
      <c r="R16">
        <f t="shared" si="0"/>
        <v>2</v>
      </c>
      <c r="S16">
        <f t="shared" si="0"/>
        <v>0</v>
      </c>
      <c r="T16">
        <f t="shared" si="0"/>
        <v>0</v>
      </c>
      <c r="U16">
        <f t="shared" si="0"/>
        <v>1</v>
      </c>
      <c r="V16">
        <f t="shared" si="0"/>
        <v>1</v>
      </c>
      <c r="W16">
        <f t="shared" si="0"/>
        <v>0</v>
      </c>
      <c r="X16">
        <f t="shared" si="0"/>
        <v>0</v>
      </c>
      <c r="Y16">
        <f t="shared" si="0"/>
        <v>0</v>
      </c>
      <c r="Z16">
        <f t="shared" si="0"/>
        <v>0</v>
      </c>
      <c r="AA16">
        <f t="shared" si="0"/>
        <v>0</v>
      </c>
      <c r="AB16">
        <f t="shared" si="0"/>
        <v>2</v>
      </c>
      <c r="AC16">
        <f t="shared" si="0"/>
        <v>0</v>
      </c>
      <c r="AD16">
        <f t="shared" si="0"/>
        <v>0</v>
      </c>
      <c r="AE16">
        <f t="shared" si="0"/>
        <v>1</v>
      </c>
      <c r="AF16">
        <f t="shared" si="0"/>
        <v>0</v>
      </c>
      <c r="AG16">
        <f t="shared" si="0"/>
        <v>0</v>
      </c>
      <c r="AH16">
        <f t="shared" si="0"/>
        <v>0</v>
      </c>
      <c r="AI16">
        <f t="shared" si="0"/>
        <v>0</v>
      </c>
      <c r="AJ16">
        <f t="shared" si="0"/>
        <v>0</v>
      </c>
      <c r="AK16">
        <f t="shared" si="0"/>
        <v>11</v>
      </c>
      <c r="AL16">
        <f t="shared" si="0"/>
        <v>2</v>
      </c>
      <c r="AM16">
        <f t="shared" si="0"/>
        <v>0</v>
      </c>
      <c r="AN16">
        <f t="shared" si="0"/>
        <v>0</v>
      </c>
      <c r="AO16">
        <f t="shared" si="0"/>
        <v>0</v>
      </c>
      <c r="AP16">
        <f t="shared" si="0"/>
        <v>0</v>
      </c>
      <c r="AQ16">
        <f t="shared" si="0"/>
        <v>2</v>
      </c>
      <c r="AR16">
        <f t="shared" si="0"/>
        <v>6</v>
      </c>
      <c r="AS16">
        <f t="shared" si="0"/>
        <v>1</v>
      </c>
      <c r="AT16">
        <f t="shared" si="0"/>
        <v>0</v>
      </c>
      <c r="AU16">
        <f t="shared" si="0"/>
        <v>1</v>
      </c>
      <c r="AV16">
        <f t="shared" si="0"/>
        <v>1</v>
      </c>
      <c r="AW16">
        <f t="shared" si="0"/>
        <v>0</v>
      </c>
      <c r="AX16">
        <f t="shared" si="0"/>
        <v>0</v>
      </c>
      <c r="AY16">
        <f t="shared" si="0"/>
        <v>1</v>
      </c>
      <c r="AZ16">
        <f t="shared" si="0"/>
        <v>0</v>
      </c>
      <c r="BA16">
        <f t="shared" si="0"/>
        <v>1</v>
      </c>
      <c r="BB16">
        <f t="shared" si="0"/>
        <v>0</v>
      </c>
      <c r="BC16">
        <f t="shared" si="0"/>
        <v>1</v>
      </c>
      <c r="BD16">
        <f t="shared" si="0"/>
        <v>1</v>
      </c>
      <c r="BE16">
        <f t="shared" si="0"/>
        <v>0</v>
      </c>
      <c r="BF16">
        <f t="shared" si="0"/>
        <v>0</v>
      </c>
      <c r="BG16">
        <f t="shared" si="0"/>
        <v>0</v>
      </c>
      <c r="BH16">
        <f t="shared" si="0"/>
        <v>2</v>
      </c>
      <c r="BI16">
        <f t="shared" si="0"/>
        <v>0</v>
      </c>
      <c r="BJ16">
        <f t="shared" si="0"/>
        <v>0</v>
      </c>
      <c r="BK16">
        <f t="shared" si="0"/>
        <v>1</v>
      </c>
      <c r="BL16">
        <f t="shared" si="0"/>
        <v>0</v>
      </c>
      <c r="BM16">
        <f>SUM(BM3:BM14)</f>
        <v>0</v>
      </c>
    </row>
    <row r="17" spans="1:65" x14ac:dyDescent="0.25">
      <c r="A17" s="1" t="s">
        <v>835</v>
      </c>
    </row>
    <row r="18" spans="1:65" x14ac:dyDescent="0.25">
      <c r="A18" s="1" t="s">
        <v>837</v>
      </c>
    </row>
    <row r="19" spans="1:65" s="13" customFormat="1" x14ac:dyDescent="0.25">
      <c r="A19" s="12" t="s">
        <v>579</v>
      </c>
    </row>
    <row r="20" spans="1:65" s="15" customFormat="1" x14ac:dyDescent="0.25">
      <c r="A20" s="15" t="s">
        <v>0</v>
      </c>
      <c r="B20" s="15" t="s">
        <v>880</v>
      </c>
      <c r="C20" s="15" t="s">
        <v>881</v>
      </c>
      <c r="D20" s="15" t="s">
        <v>882</v>
      </c>
      <c r="E20" s="15" t="s">
        <v>883</v>
      </c>
      <c r="F20" s="15" t="s">
        <v>884</v>
      </c>
      <c r="G20" s="15" t="s">
        <v>885</v>
      </c>
      <c r="H20" s="15" t="s">
        <v>886</v>
      </c>
      <c r="I20" s="15" t="s">
        <v>893</v>
      </c>
      <c r="J20" s="15" t="s">
        <v>887</v>
      </c>
      <c r="K20" s="15" t="s">
        <v>888</v>
      </c>
      <c r="L20" s="15" t="s">
        <v>889</v>
      </c>
      <c r="M20" s="15" t="s">
        <v>890</v>
      </c>
      <c r="N20" s="15" t="s">
        <v>891</v>
      </c>
      <c r="O20" s="15" t="s">
        <v>892</v>
      </c>
      <c r="P20" s="15" t="s">
        <v>894</v>
      </c>
      <c r="Q20" s="15" t="s">
        <v>895</v>
      </c>
      <c r="R20" s="15" t="s">
        <v>896</v>
      </c>
      <c r="S20" s="15" t="s">
        <v>897</v>
      </c>
      <c r="T20" s="15" t="s">
        <v>898</v>
      </c>
      <c r="U20" s="15" t="s">
        <v>899</v>
      </c>
      <c r="V20" s="15" t="s">
        <v>900</v>
      </c>
      <c r="W20" s="15" t="s">
        <v>901</v>
      </c>
      <c r="X20" s="15" t="s">
        <v>902</v>
      </c>
      <c r="Y20" s="15" t="s">
        <v>903</v>
      </c>
      <c r="Z20" s="15" t="s">
        <v>904</v>
      </c>
      <c r="AA20" s="15" t="s">
        <v>905</v>
      </c>
      <c r="AB20" s="15" t="s">
        <v>906</v>
      </c>
      <c r="AC20" s="15" t="s">
        <v>907</v>
      </c>
      <c r="AD20" s="15" t="s">
        <v>908</v>
      </c>
      <c r="AE20" s="15" t="s">
        <v>909</v>
      </c>
      <c r="AF20" s="15" t="s">
        <v>910</v>
      </c>
      <c r="AG20" s="15" t="s">
        <v>911</v>
      </c>
      <c r="AH20" s="15" t="s">
        <v>912</v>
      </c>
      <c r="AI20" s="15" t="s">
        <v>913</v>
      </c>
      <c r="AJ20" s="15" t="s">
        <v>914</v>
      </c>
      <c r="AK20" s="15" t="s">
        <v>915</v>
      </c>
      <c r="AL20" s="15" t="s">
        <v>916</v>
      </c>
      <c r="AM20" s="15" t="s">
        <v>917</v>
      </c>
      <c r="AN20" s="15" t="s">
        <v>918</v>
      </c>
      <c r="AO20" s="15" t="s">
        <v>919</v>
      </c>
      <c r="AP20" s="15" t="s">
        <v>920</v>
      </c>
      <c r="AQ20" s="15" t="s">
        <v>921</v>
      </c>
      <c r="AR20" s="15" t="s">
        <v>922</v>
      </c>
      <c r="AS20" s="15" t="s">
        <v>923</v>
      </c>
      <c r="AT20" s="15" t="s">
        <v>924</v>
      </c>
      <c r="AU20" s="15" t="s">
        <v>925</v>
      </c>
      <c r="AV20" s="15" t="s">
        <v>926</v>
      </c>
      <c r="AW20" s="15" t="s">
        <v>927</v>
      </c>
      <c r="AX20" s="15" t="s">
        <v>928</v>
      </c>
      <c r="AY20" s="15" t="s">
        <v>929</v>
      </c>
      <c r="AZ20" s="15" t="s">
        <v>930</v>
      </c>
      <c r="BA20" s="15" t="s">
        <v>931</v>
      </c>
      <c r="BB20" s="15" t="s">
        <v>932</v>
      </c>
      <c r="BC20" s="15" t="s">
        <v>933</v>
      </c>
      <c r="BD20" s="15" t="s">
        <v>934</v>
      </c>
      <c r="BE20" s="15" t="s">
        <v>935</v>
      </c>
      <c r="BF20" s="15" t="s">
        <v>936</v>
      </c>
      <c r="BG20" s="15" t="s">
        <v>937</v>
      </c>
      <c r="BH20" s="15" t="s">
        <v>938</v>
      </c>
      <c r="BI20" s="15" t="s">
        <v>939</v>
      </c>
      <c r="BJ20" s="15" t="s">
        <v>940</v>
      </c>
      <c r="BK20" s="15" t="s">
        <v>941</v>
      </c>
      <c r="BL20" s="15" t="s">
        <v>942</v>
      </c>
      <c r="BM20" s="15" t="s">
        <v>943</v>
      </c>
    </row>
    <row r="21" spans="1:65" x14ac:dyDescent="0.25">
      <c r="A21" s="1" t="s">
        <v>580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0</v>
      </c>
    </row>
    <row r="22" spans="1:65" x14ac:dyDescent="0.25">
      <c r="A22" s="1" t="s">
        <v>581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582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583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584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s="1" t="s">
        <v>585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1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1</v>
      </c>
      <c r="BE26">
        <v>0</v>
      </c>
      <c r="BF26">
        <v>0</v>
      </c>
      <c r="BG26">
        <v>0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1</v>
      </c>
    </row>
    <row r="27" spans="1:65" x14ac:dyDescent="0.25">
      <c r="A27" s="1" t="s">
        <v>586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0</v>
      </c>
    </row>
    <row r="28" spans="1:65" x14ac:dyDescent="0.25">
      <c r="A28" s="1" t="s">
        <v>587</v>
      </c>
      <c r="B28">
        <v>1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1</v>
      </c>
      <c r="S28">
        <v>1</v>
      </c>
      <c r="T28">
        <v>1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1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1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</row>
    <row r="29" spans="1:65" x14ac:dyDescent="0.25">
      <c r="A29" s="1" t="s">
        <v>588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1</v>
      </c>
      <c r="L29">
        <v>0</v>
      </c>
      <c r="M29">
        <v>1</v>
      </c>
      <c r="N29">
        <v>1</v>
      </c>
      <c r="O29">
        <v>0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1</v>
      </c>
      <c r="BL29">
        <v>1</v>
      </c>
      <c r="BM29">
        <v>0</v>
      </c>
    </row>
    <row r="30" spans="1:65" x14ac:dyDescent="0.25">
      <c r="A30" s="1" t="s">
        <v>589</v>
      </c>
      <c r="B30">
        <v>1</v>
      </c>
      <c r="C30">
        <v>1</v>
      </c>
      <c r="D30">
        <v>0</v>
      </c>
      <c r="E30">
        <v>0</v>
      </c>
      <c r="F30">
        <v>0</v>
      </c>
      <c r="G30">
        <v>1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0</v>
      </c>
    </row>
    <row r="31" spans="1:65" x14ac:dyDescent="0.25">
      <c r="A31" s="1" t="s">
        <v>590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591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592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593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0</v>
      </c>
    </row>
    <row r="35" spans="1:65" x14ac:dyDescent="0.25">
      <c r="A35" s="1" t="s">
        <v>594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s="1" t="s">
        <v>595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596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597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598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1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1</v>
      </c>
      <c r="BI39">
        <v>1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599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600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601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602</v>
      </c>
      <c r="B43">
        <v>1</v>
      </c>
      <c r="C43">
        <v>0</v>
      </c>
      <c r="D43">
        <v>0</v>
      </c>
      <c r="E43">
        <v>0</v>
      </c>
      <c r="F43">
        <v>1</v>
      </c>
      <c r="G43">
        <v>0</v>
      </c>
      <c r="H43">
        <v>1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1</v>
      </c>
      <c r="AZ43">
        <v>1</v>
      </c>
      <c r="BA43">
        <v>1</v>
      </c>
      <c r="BB43">
        <v>0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0</v>
      </c>
      <c r="BM43">
        <v>0</v>
      </c>
    </row>
    <row r="44" spans="1:65" x14ac:dyDescent="0.25">
      <c r="A44" s="1" t="s">
        <v>603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604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7" spans="1:65" x14ac:dyDescent="0.25">
      <c r="A47" s="1" t="s">
        <v>834</v>
      </c>
      <c r="B47">
        <f>SUM(B21:B45)</f>
        <v>5</v>
      </c>
      <c r="C47">
        <f t="shared" ref="C47:BM47" si="1">SUM(C21:C45)</f>
        <v>5</v>
      </c>
      <c r="D47">
        <f t="shared" si="1"/>
        <v>1</v>
      </c>
      <c r="E47">
        <f t="shared" si="1"/>
        <v>1</v>
      </c>
      <c r="F47">
        <f t="shared" si="1"/>
        <v>2</v>
      </c>
      <c r="G47">
        <f t="shared" si="1"/>
        <v>2</v>
      </c>
      <c r="H47">
        <f t="shared" si="1"/>
        <v>3</v>
      </c>
      <c r="I47">
        <f t="shared" si="1"/>
        <v>0</v>
      </c>
      <c r="J47">
        <f t="shared" si="1"/>
        <v>8</v>
      </c>
      <c r="K47">
        <f t="shared" si="1"/>
        <v>1</v>
      </c>
      <c r="L47">
        <f t="shared" si="1"/>
        <v>1</v>
      </c>
      <c r="M47">
        <f t="shared" si="1"/>
        <v>6</v>
      </c>
      <c r="N47">
        <f t="shared" si="1"/>
        <v>2</v>
      </c>
      <c r="O47">
        <f t="shared" si="1"/>
        <v>1</v>
      </c>
      <c r="P47">
        <f t="shared" si="1"/>
        <v>2</v>
      </c>
      <c r="Q47">
        <f t="shared" si="1"/>
        <v>2</v>
      </c>
      <c r="R47">
        <f t="shared" si="1"/>
        <v>2</v>
      </c>
      <c r="S47">
        <f t="shared" si="1"/>
        <v>5</v>
      </c>
      <c r="T47">
        <f t="shared" si="1"/>
        <v>7</v>
      </c>
      <c r="U47">
        <f t="shared" si="1"/>
        <v>2</v>
      </c>
      <c r="V47">
        <f t="shared" si="1"/>
        <v>1</v>
      </c>
      <c r="W47">
        <f t="shared" si="1"/>
        <v>4</v>
      </c>
      <c r="X47">
        <f t="shared" si="1"/>
        <v>1</v>
      </c>
      <c r="Y47">
        <f t="shared" si="1"/>
        <v>0</v>
      </c>
      <c r="Z47">
        <f t="shared" si="1"/>
        <v>0</v>
      </c>
      <c r="AA47">
        <f t="shared" si="1"/>
        <v>0</v>
      </c>
      <c r="AB47">
        <f t="shared" si="1"/>
        <v>1</v>
      </c>
      <c r="AC47">
        <f t="shared" si="1"/>
        <v>0</v>
      </c>
      <c r="AD47">
        <f t="shared" si="1"/>
        <v>1</v>
      </c>
      <c r="AE47">
        <f t="shared" si="1"/>
        <v>1</v>
      </c>
      <c r="AF47">
        <f t="shared" si="1"/>
        <v>2</v>
      </c>
      <c r="AG47">
        <f t="shared" si="1"/>
        <v>3</v>
      </c>
      <c r="AH47">
        <f t="shared" si="1"/>
        <v>0</v>
      </c>
      <c r="AI47">
        <f t="shared" si="1"/>
        <v>2</v>
      </c>
      <c r="AJ47">
        <f t="shared" si="1"/>
        <v>3</v>
      </c>
      <c r="AK47">
        <f t="shared" si="1"/>
        <v>24</v>
      </c>
      <c r="AL47">
        <f t="shared" si="1"/>
        <v>3</v>
      </c>
      <c r="AM47">
        <f t="shared" si="1"/>
        <v>3</v>
      </c>
      <c r="AN47">
        <f t="shared" si="1"/>
        <v>0</v>
      </c>
      <c r="AO47">
        <f t="shared" si="1"/>
        <v>1</v>
      </c>
      <c r="AP47">
        <f t="shared" si="1"/>
        <v>1</v>
      </c>
      <c r="AQ47">
        <f t="shared" si="1"/>
        <v>4</v>
      </c>
      <c r="AR47">
        <f t="shared" si="1"/>
        <v>24</v>
      </c>
      <c r="AS47">
        <f t="shared" si="1"/>
        <v>2</v>
      </c>
      <c r="AT47">
        <f t="shared" si="1"/>
        <v>0</v>
      </c>
      <c r="AU47">
        <f t="shared" si="1"/>
        <v>16</v>
      </c>
      <c r="AV47">
        <f t="shared" si="1"/>
        <v>5</v>
      </c>
      <c r="AW47">
        <f t="shared" si="1"/>
        <v>2</v>
      </c>
      <c r="AX47">
        <f t="shared" si="1"/>
        <v>0</v>
      </c>
      <c r="AY47">
        <f t="shared" si="1"/>
        <v>3</v>
      </c>
      <c r="AZ47">
        <f t="shared" si="1"/>
        <v>4</v>
      </c>
      <c r="BA47">
        <f t="shared" si="1"/>
        <v>7</v>
      </c>
      <c r="BB47">
        <f t="shared" si="1"/>
        <v>0</v>
      </c>
      <c r="BC47">
        <f t="shared" si="1"/>
        <v>2</v>
      </c>
      <c r="BD47">
        <f t="shared" si="1"/>
        <v>5</v>
      </c>
      <c r="BE47">
        <f t="shared" si="1"/>
        <v>2</v>
      </c>
      <c r="BF47">
        <f t="shared" si="1"/>
        <v>1</v>
      </c>
      <c r="BG47">
        <f t="shared" si="1"/>
        <v>0</v>
      </c>
      <c r="BH47">
        <f t="shared" si="1"/>
        <v>8</v>
      </c>
      <c r="BI47">
        <f t="shared" si="1"/>
        <v>2</v>
      </c>
      <c r="BJ47">
        <f t="shared" si="1"/>
        <v>0</v>
      </c>
      <c r="BK47">
        <f t="shared" si="1"/>
        <v>7</v>
      </c>
      <c r="BL47">
        <f t="shared" si="1"/>
        <v>5</v>
      </c>
      <c r="BM47">
        <f t="shared" si="1"/>
        <v>1</v>
      </c>
    </row>
    <row r="48" spans="1:65" x14ac:dyDescent="0.25">
      <c r="A48" s="1" t="s">
        <v>835</v>
      </c>
    </row>
    <row r="49" spans="1:140" x14ac:dyDescent="0.25">
      <c r="A49" s="1" t="s">
        <v>837</v>
      </c>
    </row>
    <row r="50" spans="1:140" s="13" customFormat="1" x14ac:dyDescent="0.25">
      <c r="A50" s="12" t="s">
        <v>605</v>
      </c>
    </row>
    <row r="51" spans="1:140" s="15" customFormat="1" x14ac:dyDescent="0.25">
      <c r="A51" s="15" t="s">
        <v>0</v>
      </c>
      <c r="B51" s="15" t="s">
        <v>880</v>
      </c>
      <c r="C51" s="15" t="s">
        <v>881</v>
      </c>
      <c r="D51" s="15" t="s">
        <v>882</v>
      </c>
      <c r="E51" s="15" t="s">
        <v>883</v>
      </c>
      <c r="F51" s="15" t="s">
        <v>884</v>
      </c>
      <c r="G51" s="15" t="s">
        <v>885</v>
      </c>
      <c r="H51" s="15" t="s">
        <v>886</v>
      </c>
      <c r="I51" s="15" t="s">
        <v>893</v>
      </c>
      <c r="J51" s="15" t="s">
        <v>887</v>
      </c>
      <c r="K51" s="15" t="s">
        <v>888</v>
      </c>
      <c r="L51" s="15" t="s">
        <v>889</v>
      </c>
      <c r="M51" s="15" t="s">
        <v>890</v>
      </c>
      <c r="N51" s="15" t="s">
        <v>891</v>
      </c>
      <c r="O51" s="15" t="s">
        <v>892</v>
      </c>
      <c r="P51" s="15" t="s">
        <v>894</v>
      </c>
      <c r="Q51" s="15" t="s">
        <v>895</v>
      </c>
      <c r="R51" s="15" t="s">
        <v>896</v>
      </c>
      <c r="S51" s="15" t="s">
        <v>897</v>
      </c>
      <c r="T51" s="15" t="s">
        <v>898</v>
      </c>
      <c r="U51" s="15" t="s">
        <v>899</v>
      </c>
      <c r="V51" s="15" t="s">
        <v>900</v>
      </c>
      <c r="W51" s="15" t="s">
        <v>901</v>
      </c>
      <c r="X51" s="15" t="s">
        <v>902</v>
      </c>
      <c r="Y51" s="15" t="s">
        <v>903</v>
      </c>
      <c r="Z51" s="15" t="s">
        <v>904</v>
      </c>
      <c r="AA51" s="15" t="s">
        <v>905</v>
      </c>
      <c r="AB51" s="15" t="s">
        <v>906</v>
      </c>
      <c r="AC51" s="15" t="s">
        <v>907</v>
      </c>
      <c r="AD51" s="15" t="s">
        <v>908</v>
      </c>
      <c r="AE51" s="15" t="s">
        <v>909</v>
      </c>
      <c r="AF51" s="15" t="s">
        <v>910</v>
      </c>
      <c r="AG51" s="15" t="s">
        <v>911</v>
      </c>
      <c r="AH51" s="15" t="s">
        <v>912</v>
      </c>
      <c r="AI51" s="15" t="s">
        <v>913</v>
      </c>
      <c r="AJ51" s="15" t="s">
        <v>914</v>
      </c>
      <c r="AK51" s="15" t="s">
        <v>915</v>
      </c>
      <c r="AL51" s="15" t="s">
        <v>916</v>
      </c>
      <c r="AM51" s="15" t="s">
        <v>917</v>
      </c>
      <c r="AN51" s="15" t="s">
        <v>918</v>
      </c>
      <c r="AO51" s="15" t="s">
        <v>919</v>
      </c>
      <c r="AP51" s="15" t="s">
        <v>920</v>
      </c>
      <c r="AQ51" s="15" t="s">
        <v>921</v>
      </c>
      <c r="AR51" s="15" t="s">
        <v>922</v>
      </c>
      <c r="AS51" s="15" t="s">
        <v>923</v>
      </c>
      <c r="AT51" s="15" t="s">
        <v>924</v>
      </c>
      <c r="AU51" s="15" t="s">
        <v>925</v>
      </c>
      <c r="AV51" s="15" t="s">
        <v>926</v>
      </c>
      <c r="AW51" s="15" t="s">
        <v>927</v>
      </c>
      <c r="AX51" s="15" t="s">
        <v>928</v>
      </c>
      <c r="AY51" s="15" t="s">
        <v>929</v>
      </c>
      <c r="AZ51" s="15" t="s">
        <v>930</v>
      </c>
      <c r="BA51" s="15" t="s">
        <v>931</v>
      </c>
      <c r="BB51" s="15" t="s">
        <v>932</v>
      </c>
      <c r="BC51" s="15" t="s">
        <v>933</v>
      </c>
      <c r="BD51" s="15" t="s">
        <v>934</v>
      </c>
      <c r="BE51" s="15" t="s">
        <v>935</v>
      </c>
      <c r="BF51" s="15" t="s">
        <v>936</v>
      </c>
      <c r="BG51" s="15" t="s">
        <v>937</v>
      </c>
      <c r="BH51" s="15" t="s">
        <v>938</v>
      </c>
      <c r="BI51" s="15" t="s">
        <v>939</v>
      </c>
      <c r="BJ51" s="15" t="s">
        <v>940</v>
      </c>
      <c r="BK51" s="15" t="s">
        <v>941</v>
      </c>
      <c r="BL51" s="15" t="s">
        <v>942</v>
      </c>
      <c r="BM51" s="15" t="s">
        <v>943</v>
      </c>
    </row>
    <row r="52" spans="1:140" x14ac:dyDescent="0.25">
      <c r="A52" s="1" t="s">
        <v>606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140" x14ac:dyDescent="0.25">
      <c r="A53" s="1" t="s">
        <v>607</v>
      </c>
      <c r="B53">
        <v>0</v>
      </c>
      <c r="C53">
        <v>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1</v>
      </c>
      <c r="N53">
        <v>1</v>
      </c>
      <c r="O53">
        <v>1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1</v>
      </c>
      <c r="BM53">
        <v>0</v>
      </c>
    </row>
    <row r="54" spans="1:140" x14ac:dyDescent="0.25">
      <c r="A54" s="1" t="s">
        <v>608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5" spans="1:140" x14ac:dyDescent="0.25">
      <c r="A55" s="1" t="s">
        <v>609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</row>
    <row r="56" spans="1:140" x14ac:dyDescent="0.25">
      <c r="A56" s="1" t="s">
        <v>610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</row>
    <row r="57" spans="1:140" x14ac:dyDescent="0.25">
      <c r="A57" s="1" t="s">
        <v>611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</row>
    <row r="58" spans="1:140" x14ac:dyDescent="0.25">
      <c r="A58" s="1" t="s">
        <v>612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</row>
    <row r="59" spans="1:140" x14ac:dyDescent="0.25">
      <c r="EI59" s="2"/>
      <c r="EJ59" s="2"/>
    </row>
    <row r="60" spans="1:140" x14ac:dyDescent="0.25">
      <c r="A60" s="1" t="s">
        <v>834</v>
      </c>
      <c r="B60">
        <f>SUM(B52:B58)</f>
        <v>0</v>
      </c>
      <c r="C60">
        <f t="shared" ref="C60:BM60" si="2">SUM(C52:C58)</f>
        <v>1</v>
      </c>
      <c r="D60">
        <f t="shared" si="2"/>
        <v>0</v>
      </c>
      <c r="E60">
        <f t="shared" si="2"/>
        <v>0</v>
      </c>
      <c r="F60">
        <f t="shared" si="2"/>
        <v>1</v>
      </c>
      <c r="G60">
        <f t="shared" si="2"/>
        <v>0</v>
      </c>
      <c r="H60">
        <f t="shared" si="2"/>
        <v>0</v>
      </c>
      <c r="I60">
        <f t="shared" si="2"/>
        <v>0</v>
      </c>
      <c r="J60">
        <f t="shared" si="2"/>
        <v>3</v>
      </c>
      <c r="K60">
        <f t="shared" si="2"/>
        <v>0</v>
      </c>
      <c r="L60">
        <f t="shared" si="2"/>
        <v>1</v>
      </c>
      <c r="M60">
        <f t="shared" si="2"/>
        <v>2</v>
      </c>
      <c r="N60">
        <f t="shared" si="2"/>
        <v>1</v>
      </c>
      <c r="O60">
        <f t="shared" si="2"/>
        <v>1</v>
      </c>
      <c r="P60">
        <f t="shared" si="2"/>
        <v>0</v>
      </c>
      <c r="Q60">
        <f t="shared" si="2"/>
        <v>0</v>
      </c>
      <c r="R60">
        <f t="shared" si="2"/>
        <v>1</v>
      </c>
      <c r="S60">
        <f t="shared" si="2"/>
        <v>1</v>
      </c>
      <c r="T60">
        <f t="shared" si="2"/>
        <v>2</v>
      </c>
      <c r="U60">
        <f t="shared" si="2"/>
        <v>0</v>
      </c>
      <c r="V60">
        <f t="shared" si="2"/>
        <v>1</v>
      </c>
      <c r="W60">
        <f t="shared" si="2"/>
        <v>1</v>
      </c>
      <c r="X60">
        <f t="shared" si="2"/>
        <v>1</v>
      </c>
      <c r="Y60">
        <f t="shared" si="2"/>
        <v>0</v>
      </c>
      <c r="Z60">
        <f t="shared" si="2"/>
        <v>0</v>
      </c>
      <c r="AA60">
        <f t="shared" si="2"/>
        <v>0</v>
      </c>
      <c r="AB60">
        <f t="shared" si="2"/>
        <v>0</v>
      </c>
      <c r="AC60">
        <f t="shared" si="2"/>
        <v>0</v>
      </c>
      <c r="AD60">
        <f t="shared" si="2"/>
        <v>0</v>
      </c>
      <c r="AE60">
        <f t="shared" si="2"/>
        <v>0</v>
      </c>
      <c r="AF60">
        <f t="shared" si="2"/>
        <v>0</v>
      </c>
      <c r="AG60">
        <f t="shared" si="2"/>
        <v>0</v>
      </c>
      <c r="AH60">
        <f t="shared" si="2"/>
        <v>0</v>
      </c>
      <c r="AI60">
        <f t="shared" si="2"/>
        <v>0</v>
      </c>
      <c r="AJ60">
        <f t="shared" si="2"/>
        <v>1</v>
      </c>
      <c r="AK60">
        <f t="shared" si="2"/>
        <v>7</v>
      </c>
      <c r="AL60">
        <f t="shared" si="2"/>
        <v>1</v>
      </c>
      <c r="AM60">
        <f t="shared" si="2"/>
        <v>1</v>
      </c>
      <c r="AN60">
        <f t="shared" si="2"/>
        <v>0</v>
      </c>
      <c r="AO60">
        <f t="shared" si="2"/>
        <v>0</v>
      </c>
      <c r="AP60">
        <f t="shared" si="2"/>
        <v>0</v>
      </c>
      <c r="AQ60">
        <f t="shared" si="2"/>
        <v>0</v>
      </c>
      <c r="AR60">
        <f t="shared" si="2"/>
        <v>6</v>
      </c>
      <c r="AS60">
        <f t="shared" si="2"/>
        <v>0</v>
      </c>
      <c r="AT60">
        <f t="shared" si="2"/>
        <v>0</v>
      </c>
      <c r="AU60">
        <f t="shared" si="2"/>
        <v>2</v>
      </c>
      <c r="AV60">
        <f t="shared" si="2"/>
        <v>1</v>
      </c>
      <c r="AW60">
        <f t="shared" si="2"/>
        <v>0</v>
      </c>
      <c r="AX60">
        <f t="shared" si="2"/>
        <v>1</v>
      </c>
      <c r="AY60">
        <f t="shared" si="2"/>
        <v>1</v>
      </c>
      <c r="AZ60">
        <f t="shared" si="2"/>
        <v>1</v>
      </c>
      <c r="BA60">
        <f t="shared" si="2"/>
        <v>1</v>
      </c>
      <c r="BB60">
        <f t="shared" si="2"/>
        <v>0</v>
      </c>
      <c r="BC60">
        <f t="shared" si="2"/>
        <v>0</v>
      </c>
      <c r="BD60">
        <f t="shared" si="2"/>
        <v>1</v>
      </c>
      <c r="BE60">
        <f t="shared" si="2"/>
        <v>0</v>
      </c>
      <c r="BF60">
        <f t="shared" si="2"/>
        <v>0</v>
      </c>
      <c r="BG60">
        <f t="shared" si="2"/>
        <v>0</v>
      </c>
      <c r="BH60">
        <f t="shared" si="2"/>
        <v>0</v>
      </c>
      <c r="BI60">
        <f t="shared" si="2"/>
        <v>0</v>
      </c>
      <c r="BJ60">
        <f t="shared" si="2"/>
        <v>0</v>
      </c>
      <c r="BK60">
        <f t="shared" si="2"/>
        <v>2</v>
      </c>
      <c r="BL60">
        <f t="shared" si="2"/>
        <v>2</v>
      </c>
      <c r="BM60">
        <f t="shared" si="2"/>
        <v>1</v>
      </c>
    </row>
    <row r="61" spans="1:140" x14ac:dyDescent="0.25">
      <c r="A61" s="1" t="s">
        <v>835</v>
      </c>
    </row>
    <row r="62" spans="1:140" x14ac:dyDescent="0.25">
      <c r="A62" s="1" t="s">
        <v>837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25" style="1" bestFit="1" customWidth="1"/>
    <col min="2" max="28" width="11.140625" customWidth="1"/>
    <col min="29" max="29" width="11.140625" style="25" customWidth="1"/>
    <col min="30" max="117" width="11.140625" customWidth="1"/>
    <col min="118" max="118" width="11" customWidth="1"/>
    <col min="119" max="149" width="11.140625" customWidth="1"/>
    <col min="150" max="187" width="11.140625" bestFit="1" customWidth="1"/>
  </cols>
  <sheetData>
    <row r="1" spans="1:65" s="13" customFormat="1" x14ac:dyDescent="0.25">
      <c r="A1" s="12" t="s">
        <v>613</v>
      </c>
      <c r="AC1" s="24"/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614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s="25">
        <v>0</v>
      </c>
      <c r="AD3" s="29">
        <v>0</v>
      </c>
      <c r="AE3" s="29">
        <v>0</v>
      </c>
      <c r="AF3" s="29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s="1" t="s">
        <v>615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s="25">
        <v>0</v>
      </c>
      <c r="AD4" s="29">
        <v>0</v>
      </c>
      <c r="AE4" s="29">
        <v>0</v>
      </c>
      <c r="AF4" s="29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616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s="25">
        <v>0</v>
      </c>
      <c r="AD5" s="29">
        <v>0</v>
      </c>
      <c r="AE5" s="29">
        <v>0</v>
      </c>
      <c r="AF5" s="29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617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s="25">
        <v>0</v>
      </c>
      <c r="AD6" s="29">
        <v>0</v>
      </c>
      <c r="AE6" s="29">
        <v>0</v>
      </c>
      <c r="AF6" s="29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s="1" t="s">
        <v>618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s="25">
        <v>0</v>
      </c>
      <c r="AD7" s="29">
        <v>0</v>
      </c>
      <c r="AE7" s="29">
        <v>0</v>
      </c>
      <c r="AF7" s="29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619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s="25">
        <v>0</v>
      </c>
      <c r="AD8" s="29">
        <v>0</v>
      </c>
      <c r="AE8" s="29">
        <v>0</v>
      </c>
      <c r="AF8" s="29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s="1" t="s">
        <v>620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s="25">
        <v>0</v>
      </c>
      <c r="AD9" s="29">
        <v>0</v>
      </c>
      <c r="AE9" s="29">
        <v>0</v>
      </c>
      <c r="AF9" s="2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s="1" t="s">
        <v>621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s="25">
        <v>0</v>
      </c>
      <c r="AD10" s="29">
        <v>0</v>
      </c>
      <c r="AE10" s="29">
        <v>0</v>
      </c>
      <c r="AF10" s="29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622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s="25">
        <v>0</v>
      </c>
      <c r="AD11" s="29">
        <v>0</v>
      </c>
      <c r="AE11" s="29">
        <v>0</v>
      </c>
      <c r="AF11" s="29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s="1" t="s">
        <v>623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 s="25">
        <v>0</v>
      </c>
      <c r="AD12" s="29">
        <v>1</v>
      </c>
      <c r="AE12" s="29">
        <v>1</v>
      </c>
      <c r="AF12" s="29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0</v>
      </c>
      <c r="BL12">
        <v>1</v>
      </c>
      <c r="BM12">
        <v>1</v>
      </c>
    </row>
    <row r="13" spans="1:65" x14ac:dyDescent="0.25">
      <c r="A13" s="1" t="s">
        <v>624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 s="25">
        <v>0</v>
      </c>
      <c r="AD13" s="29">
        <v>0</v>
      </c>
      <c r="AE13" s="29">
        <v>0</v>
      </c>
      <c r="AF13" s="29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0</v>
      </c>
    </row>
    <row r="14" spans="1:65" x14ac:dyDescent="0.25">
      <c r="A14" s="1" t="s">
        <v>625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 s="25">
        <v>0</v>
      </c>
      <c r="AD14" s="29">
        <v>0</v>
      </c>
      <c r="AE14" s="29">
        <v>0</v>
      </c>
      <c r="AF14" s="29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1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626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 s="25">
        <v>0</v>
      </c>
      <c r="AD15" s="29">
        <v>0</v>
      </c>
      <c r="AE15" s="29">
        <v>0</v>
      </c>
      <c r="AF15" s="29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1</v>
      </c>
      <c r="BL15">
        <v>0</v>
      </c>
      <c r="BM15">
        <v>0</v>
      </c>
    </row>
    <row r="16" spans="1:65" x14ac:dyDescent="0.25">
      <c r="A16" s="1" t="s">
        <v>627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25">
        <v>0</v>
      </c>
      <c r="AD16" s="29">
        <v>0</v>
      </c>
      <c r="AE16" s="29">
        <v>0</v>
      </c>
      <c r="AF16" s="29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s="1" t="s">
        <v>628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s="25">
        <v>0</v>
      </c>
      <c r="AD17" s="29">
        <v>0</v>
      </c>
      <c r="AE17" s="29">
        <v>0</v>
      </c>
      <c r="AF17" s="29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629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s="25">
        <v>0</v>
      </c>
      <c r="AD18" s="29">
        <v>0</v>
      </c>
      <c r="AE18" s="29">
        <v>0</v>
      </c>
      <c r="AF18" s="29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630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 s="25">
        <v>0</v>
      </c>
      <c r="AD19" s="29">
        <v>0</v>
      </c>
      <c r="AE19" s="29">
        <v>0</v>
      </c>
      <c r="AF19" s="2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1</v>
      </c>
      <c r="BK19">
        <v>0</v>
      </c>
      <c r="BL19">
        <v>0</v>
      </c>
      <c r="BM19">
        <v>0</v>
      </c>
    </row>
    <row r="20" spans="1:65" x14ac:dyDescent="0.25">
      <c r="A20" s="1" t="s">
        <v>631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 s="25">
        <v>0</v>
      </c>
      <c r="AD20" s="29">
        <v>0</v>
      </c>
      <c r="AE20" s="29">
        <v>0</v>
      </c>
      <c r="AF20" s="29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1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0</v>
      </c>
      <c r="AT20">
        <v>0</v>
      </c>
      <c r="AU20">
        <v>1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1</v>
      </c>
      <c r="BK20">
        <v>0</v>
      </c>
      <c r="BL20">
        <v>1</v>
      </c>
      <c r="BM20">
        <v>0</v>
      </c>
    </row>
    <row r="21" spans="1:65" x14ac:dyDescent="0.25">
      <c r="A21" s="1" t="s">
        <v>632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s="25">
        <v>0</v>
      </c>
      <c r="AD21" s="29">
        <v>0</v>
      </c>
      <c r="AE21" s="29">
        <v>0</v>
      </c>
      <c r="AF21" s="29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633</v>
      </c>
      <c r="B22">
        <v>1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 s="25">
        <v>0</v>
      </c>
      <c r="AD22" s="29">
        <v>0</v>
      </c>
      <c r="AE22" s="29">
        <v>0</v>
      </c>
      <c r="AF22" s="29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634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s="25">
        <v>0</v>
      </c>
      <c r="AD23" s="29">
        <v>0</v>
      </c>
      <c r="AE23" s="29">
        <v>0</v>
      </c>
      <c r="AF23" s="29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 t="s">
        <v>635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 s="25">
        <v>0</v>
      </c>
      <c r="AD24" s="29">
        <v>0</v>
      </c>
      <c r="AE24" s="29">
        <v>1</v>
      </c>
      <c r="AF24" s="29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s="1" t="s">
        <v>636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 s="25">
        <v>0</v>
      </c>
      <c r="AD25" s="29">
        <v>0</v>
      </c>
      <c r="AE25" s="29">
        <v>0</v>
      </c>
      <c r="AF25" s="29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</row>
    <row r="26" spans="1:65" x14ac:dyDescent="0.25">
      <c r="A26" s="1" t="s">
        <v>637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s="25">
        <v>0</v>
      </c>
      <c r="AD26" s="29">
        <v>0</v>
      </c>
      <c r="AE26" s="29">
        <v>0</v>
      </c>
      <c r="AF26" s="29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s="1" t="s">
        <v>638</v>
      </c>
      <c r="B27">
        <v>1</v>
      </c>
      <c r="C27">
        <v>0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 s="25">
        <v>0</v>
      </c>
      <c r="AD27" s="29">
        <v>1</v>
      </c>
      <c r="AE27" s="29">
        <v>1</v>
      </c>
      <c r="AF27" s="29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1</v>
      </c>
      <c r="AM27">
        <v>0</v>
      </c>
      <c r="AN27">
        <v>0</v>
      </c>
      <c r="AO27">
        <v>1</v>
      </c>
      <c r="AP27">
        <v>1</v>
      </c>
      <c r="AQ27">
        <v>1</v>
      </c>
      <c r="AR27">
        <v>1</v>
      </c>
      <c r="AS27">
        <v>0</v>
      </c>
      <c r="AT27">
        <v>0</v>
      </c>
      <c r="AU27">
        <v>1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</row>
    <row r="28" spans="1:65" x14ac:dyDescent="0.25">
      <c r="A28" s="1" t="s">
        <v>639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s="25">
        <v>0</v>
      </c>
      <c r="AD28" s="29">
        <v>0</v>
      </c>
      <c r="AE28" s="29">
        <v>0</v>
      </c>
      <c r="AF28" s="29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30" spans="1:65" x14ac:dyDescent="0.25">
      <c r="A30" s="1" t="s">
        <v>834</v>
      </c>
      <c r="B30">
        <f>SUM(B3:B28)</f>
        <v>9</v>
      </c>
      <c r="C30">
        <f t="shared" ref="C30:BM30" si="0">SUM(C3:C28)</f>
        <v>1</v>
      </c>
      <c r="D30">
        <f t="shared" si="0"/>
        <v>2</v>
      </c>
      <c r="E30">
        <f t="shared" si="0"/>
        <v>2</v>
      </c>
      <c r="F30">
        <f t="shared" si="0"/>
        <v>2</v>
      </c>
      <c r="G30">
        <f t="shared" si="0"/>
        <v>0</v>
      </c>
      <c r="H30">
        <f t="shared" si="0"/>
        <v>0</v>
      </c>
      <c r="I30">
        <f t="shared" si="0"/>
        <v>3</v>
      </c>
      <c r="J30">
        <f t="shared" si="0"/>
        <v>11</v>
      </c>
      <c r="K30">
        <f t="shared" si="0"/>
        <v>0</v>
      </c>
      <c r="L30">
        <f t="shared" si="0"/>
        <v>1</v>
      </c>
      <c r="M30">
        <f t="shared" si="0"/>
        <v>5</v>
      </c>
      <c r="N30">
        <f t="shared" si="0"/>
        <v>3</v>
      </c>
      <c r="O30">
        <f t="shared" si="0"/>
        <v>2</v>
      </c>
      <c r="P30">
        <f t="shared" si="0"/>
        <v>0</v>
      </c>
      <c r="Q30">
        <f t="shared" si="0"/>
        <v>0</v>
      </c>
      <c r="R30">
        <f t="shared" si="0"/>
        <v>0</v>
      </c>
      <c r="S30">
        <f t="shared" si="0"/>
        <v>5</v>
      </c>
      <c r="T30">
        <f t="shared" si="0"/>
        <v>10</v>
      </c>
      <c r="U30">
        <f t="shared" si="0"/>
        <v>3</v>
      </c>
      <c r="V30">
        <f t="shared" si="0"/>
        <v>2</v>
      </c>
      <c r="W30">
        <f t="shared" si="0"/>
        <v>2</v>
      </c>
      <c r="X30">
        <f t="shared" si="0"/>
        <v>1</v>
      </c>
      <c r="Y30">
        <f t="shared" si="0"/>
        <v>0</v>
      </c>
      <c r="Z30">
        <f t="shared" si="0"/>
        <v>0</v>
      </c>
      <c r="AA30">
        <f t="shared" si="0"/>
        <v>0</v>
      </c>
      <c r="AB30">
        <f t="shared" si="0"/>
        <v>7</v>
      </c>
      <c r="AC30">
        <f t="shared" si="0"/>
        <v>0</v>
      </c>
      <c r="AD30">
        <f t="shared" si="0"/>
        <v>2</v>
      </c>
      <c r="AE30">
        <f t="shared" si="0"/>
        <v>3</v>
      </c>
      <c r="AF30">
        <f t="shared" si="0"/>
        <v>0</v>
      </c>
      <c r="AG30">
        <f t="shared" si="0"/>
        <v>0</v>
      </c>
      <c r="AH30">
        <f t="shared" si="0"/>
        <v>0</v>
      </c>
      <c r="AI30">
        <f t="shared" si="0"/>
        <v>1</v>
      </c>
      <c r="AJ30">
        <f t="shared" si="0"/>
        <v>2</v>
      </c>
      <c r="AK30">
        <f t="shared" si="0"/>
        <v>25</v>
      </c>
      <c r="AL30">
        <f t="shared" si="0"/>
        <v>2</v>
      </c>
      <c r="AM30">
        <f t="shared" si="0"/>
        <v>2</v>
      </c>
      <c r="AN30">
        <f t="shared" si="0"/>
        <v>0</v>
      </c>
      <c r="AO30">
        <f t="shared" si="0"/>
        <v>2</v>
      </c>
      <c r="AP30">
        <f t="shared" si="0"/>
        <v>3</v>
      </c>
      <c r="AQ30">
        <f t="shared" si="0"/>
        <v>7</v>
      </c>
      <c r="AR30">
        <f t="shared" si="0"/>
        <v>19</v>
      </c>
      <c r="AS30">
        <f t="shared" si="0"/>
        <v>0</v>
      </c>
      <c r="AT30">
        <f t="shared" si="0"/>
        <v>0</v>
      </c>
      <c r="AU30">
        <f t="shared" si="0"/>
        <v>13</v>
      </c>
      <c r="AV30">
        <f t="shared" si="0"/>
        <v>3</v>
      </c>
      <c r="AW30">
        <f t="shared" si="0"/>
        <v>0</v>
      </c>
      <c r="AX30">
        <f t="shared" si="0"/>
        <v>0</v>
      </c>
      <c r="AY30">
        <f t="shared" si="0"/>
        <v>1</v>
      </c>
      <c r="AZ30">
        <f t="shared" si="0"/>
        <v>0</v>
      </c>
      <c r="BA30">
        <f t="shared" si="0"/>
        <v>3</v>
      </c>
      <c r="BB30">
        <f t="shared" si="0"/>
        <v>0</v>
      </c>
      <c r="BC30">
        <f t="shared" si="0"/>
        <v>0</v>
      </c>
      <c r="BD30">
        <f t="shared" si="0"/>
        <v>3</v>
      </c>
      <c r="BE30">
        <f t="shared" si="0"/>
        <v>0</v>
      </c>
      <c r="BF30">
        <f t="shared" si="0"/>
        <v>0</v>
      </c>
      <c r="BG30">
        <f t="shared" si="0"/>
        <v>0</v>
      </c>
      <c r="BH30">
        <f t="shared" si="0"/>
        <v>5</v>
      </c>
      <c r="BI30">
        <f t="shared" si="0"/>
        <v>0</v>
      </c>
      <c r="BJ30">
        <f t="shared" si="0"/>
        <v>3</v>
      </c>
      <c r="BK30">
        <f t="shared" si="0"/>
        <v>4</v>
      </c>
      <c r="BL30">
        <f t="shared" si="0"/>
        <v>3</v>
      </c>
      <c r="BM30">
        <f t="shared" si="0"/>
        <v>2</v>
      </c>
    </row>
    <row r="31" spans="1:65" x14ac:dyDescent="0.25">
      <c r="A31" s="1" t="s">
        <v>835</v>
      </c>
    </row>
    <row r="32" spans="1:65" x14ac:dyDescent="0.25">
      <c r="A32" s="1" t="s">
        <v>837</v>
      </c>
    </row>
    <row r="33" spans="1:65" s="13" customFormat="1" x14ac:dyDescent="0.25">
      <c r="A33" s="12" t="s">
        <v>640</v>
      </c>
      <c r="AC33" s="24"/>
    </row>
    <row r="34" spans="1:65" s="15" customFormat="1" x14ac:dyDescent="0.25">
      <c r="A34" s="15" t="s">
        <v>0</v>
      </c>
      <c r="B34" s="15" t="s">
        <v>880</v>
      </c>
      <c r="C34" s="15" t="s">
        <v>881</v>
      </c>
      <c r="D34" s="15" t="s">
        <v>882</v>
      </c>
      <c r="E34" s="15" t="s">
        <v>883</v>
      </c>
      <c r="F34" s="15" t="s">
        <v>884</v>
      </c>
      <c r="G34" s="15" t="s">
        <v>885</v>
      </c>
      <c r="H34" s="15" t="s">
        <v>886</v>
      </c>
      <c r="I34" s="15" t="s">
        <v>893</v>
      </c>
      <c r="J34" s="15" t="s">
        <v>887</v>
      </c>
      <c r="K34" s="15" t="s">
        <v>888</v>
      </c>
      <c r="L34" s="15" t="s">
        <v>889</v>
      </c>
      <c r="M34" s="15" t="s">
        <v>890</v>
      </c>
      <c r="N34" s="15" t="s">
        <v>891</v>
      </c>
      <c r="O34" s="15" t="s">
        <v>892</v>
      </c>
      <c r="P34" s="15" t="s">
        <v>894</v>
      </c>
      <c r="Q34" s="15" t="s">
        <v>895</v>
      </c>
      <c r="R34" s="15" t="s">
        <v>896</v>
      </c>
      <c r="S34" s="15" t="s">
        <v>897</v>
      </c>
      <c r="T34" s="15" t="s">
        <v>898</v>
      </c>
      <c r="U34" s="15" t="s">
        <v>899</v>
      </c>
      <c r="V34" s="15" t="s">
        <v>900</v>
      </c>
      <c r="W34" s="15" t="s">
        <v>901</v>
      </c>
      <c r="X34" s="15" t="s">
        <v>902</v>
      </c>
      <c r="Y34" s="15" t="s">
        <v>903</v>
      </c>
      <c r="Z34" s="15" t="s">
        <v>904</v>
      </c>
      <c r="AA34" s="15" t="s">
        <v>905</v>
      </c>
      <c r="AB34" s="15" t="s">
        <v>906</v>
      </c>
      <c r="AC34" s="15" t="s">
        <v>907</v>
      </c>
      <c r="AD34" s="15" t="s">
        <v>908</v>
      </c>
      <c r="AE34" s="15" t="s">
        <v>909</v>
      </c>
      <c r="AF34" s="15" t="s">
        <v>910</v>
      </c>
      <c r="AG34" s="15" t="s">
        <v>911</v>
      </c>
      <c r="AH34" s="15" t="s">
        <v>912</v>
      </c>
      <c r="AI34" s="15" t="s">
        <v>913</v>
      </c>
      <c r="AJ34" s="15" t="s">
        <v>914</v>
      </c>
      <c r="AK34" s="15" t="s">
        <v>915</v>
      </c>
      <c r="AL34" s="15" t="s">
        <v>916</v>
      </c>
      <c r="AM34" s="15" t="s">
        <v>917</v>
      </c>
      <c r="AN34" s="15" t="s">
        <v>918</v>
      </c>
      <c r="AO34" s="15" t="s">
        <v>919</v>
      </c>
      <c r="AP34" s="15" t="s">
        <v>920</v>
      </c>
      <c r="AQ34" s="15" t="s">
        <v>921</v>
      </c>
      <c r="AR34" s="15" t="s">
        <v>922</v>
      </c>
      <c r="AS34" s="15" t="s">
        <v>923</v>
      </c>
      <c r="AT34" s="15" t="s">
        <v>924</v>
      </c>
      <c r="AU34" s="15" t="s">
        <v>925</v>
      </c>
      <c r="AV34" s="15" t="s">
        <v>926</v>
      </c>
      <c r="AW34" s="15" t="s">
        <v>927</v>
      </c>
      <c r="AX34" s="15" t="s">
        <v>928</v>
      </c>
      <c r="AY34" s="15" t="s">
        <v>929</v>
      </c>
      <c r="AZ34" s="15" t="s">
        <v>930</v>
      </c>
      <c r="BA34" s="15" t="s">
        <v>931</v>
      </c>
      <c r="BB34" s="15" t="s">
        <v>932</v>
      </c>
      <c r="BC34" s="15" t="s">
        <v>933</v>
      </c>
      <c r="BD34" s="15" t="s">
        <v>934</v>
      </c>
      <c r="BE34" s="15" t="s">
        <v>935</v>
      </c>
      <c r="BF34" s="15" t="s">
        <v>936</v>
      </c>
      <c r="BG34" s="15" t="s">
        <v>937</v>
      </c>
      <c r="BH34" s="15" t="s">
        <v>938</v>
      </c>
      <c r="BI34" s="15" t="s">
        <v>939</v>
      </c>
      <c r="BJ34" s="15" t="s">
        <v>940</v>
      </c>
      <c r="BK34" s="15" t="s">
        <v>941</v>
      </c>
      <c r="BL34" s="15" t="s">
        <v>942</v>
      </c>
      <c r="BM34" s="15" t="s">
        <v>943</v>
      </c>
    </row>
    <row r="35" spans="1:65" x14ac:dyDescent="0.25">
      <c r="A35" s="1" t="s">
        <v>641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s="25">
        <v>0</v>
      </c>
      <c r="AD35" s="29">
        <v>0</v>
      </c>
      <c r="AE35" s="29">
        <v>0</v>
      </c>
      <c r="AF35" s="29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</row>
    <row r="36" spans="1:65" x14ac:dyDescent="0.25">
      <c r="A36" s="1" t="s">
        <v>642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s="25">
        <v>0</v>
      </c>
      <c r="AD36" s="29">
        <v>0</v>
      </c>
      <c r="AE36" s="29">
        <v>0</v>
      </c>
      <c r="AF36" s="29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s="1" t="s">
        <v>643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s="25">
        <v>0</v>
      </c>
      <c r="AD37" s="29">
        <v>0</v>
      </c>
      <c r="AE37" s="29">
        <v>0</v>
      </c>
      <c r="AF37" s="29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s="1" t="s">
        <v>644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s="25">
        <v>0</v>
      </c>
      <c r="AD38" s="29">
        <v>0</v>
      </c>
      <c r="AE38" s="29">
        <v>0</v>
      </c>
      <c r="AF38" s="29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s="1" t="s">
        <v>645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s="25">
        <v>0</v>
      </c>
      <c r="AD39" s="29">
        <v>0</v>
      </c>
      <c r="AE39" s="29">
        <v>0</v>
      </c>
      <c r="AF39" s="2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s="1" t="s">
        <v>646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s="25">
        <v>0</v>
      </c>
      <c r="AD40" s="29">
        <v>0</v>
      </c>
      <c r="AE40" s="29">
        <v>0</v>
      </c>
      <c r="AF40" s="29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s="1" t="s">
        <v>647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 s="25">
        <v>0</v>
      </c>
      <c r="AD41" s="29">
        <v>0</v>
      </c>
      <c r="AE41" s="29">
        <v>0</v>
      </c>
      <c r="AF41" s="29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s="1" t="s">
        <v>648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s="25">
        <v>0</v>
      </c>
      <c r="AD42" s="29">
        <v>0</v>
      </c>
      <c r="AE42" s="29">
        <v>0</v>
      </c>
      <c r="AF42" s="29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s="1" t="s">
        <v>649</v>
      </c>
      <c r="B43">
        <v>1</v>
      </c>
      <c r="C43">
        <v>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s="25">
        <v>0</v>
      </c>
      <c r="AD43" s="29">
        <v>0</v>
      </c>
      <c r="AE43" s="29">
        <v>1</v>
      </c>
      <c r="AF43" s="29">
        <v>0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0</v>
      </c>
      <c r="AT43">
        <v>1</v>
      </c>
      <c r="AU43">
        <v>1</v>
      </c>
      <c r="AV43">
        <v>1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1</v>
      </c>
      <c r="BL43">
        <v>1</v>
      </c>
      <c r="BM43">
        <v>0</v>
      </c>
    </row>
    <row r="44" spans="1:65" x14ac:dyDescent="0.25">
      <c r="A44" s="1" t="s">
        <v>650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s="25">
        <v>0</v>
      </c>
      <c r="AD44" s="29">
        <v>0</v>
      </c>
      <c r="AE44" s="29">
        <v>0</v>
      </c>
      <c r="AF44" s="29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s="1" t="s">
        <v>651</v>
      </c>
      <c r="B45">
        <v>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s="25">
        <v>0</v>
      </c>
      <c r="AD45" s="29">
        <v>0</v>
      </c>
      <c r="AE45" s="29">
        <v>0</v>
      </c>
      <c r="AF45" s="29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1</v>
      </c>
      <c r="BL45">
        <v>0</v>
      </c>
      <c r="BM45">
        <v>0</v>
      </c>
    </row>
    <row r="46" spans="1:65" x14ac:dyDescent="0.25">
      <c r="A46" s="1" t="s">
        <v>652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s="25">
        <v>0</v>
      </c>
      <c r="AD46" s="29">
        <v>0</v>
      </c>
      <c r="AE46" s="29">
        <v>0</v>
      </c>
      <c r="AF46" s="29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s="1" t="s">
        <v>653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s="25">
        <v>0</v>
      </c>
      <c r="AD47" s="29">
        <v>0</v>
      </c>
      <c r="AE47" s="29">
        <v>0</v>
      </c>
      <c r="AF47" s="29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s="1" t="s">
        <v>654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s="25">
        <v>0</v>
      </c>
      <c r="AD48" s="29">
        <v>0</v>
      </c>
      <c r="AE48" s="29">
        <v>0</v>
      </c>
      <c r="AF48" s="29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s="1" t="s">
        <v>655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s="25">
        <v>0</v>
      </c>
      <c r="AD49" s="29">
        <v>0</v>
      </c>
      <c r="AE49" s="29">
        <v>0</v>
      </c>
      <c r="AF49" s="2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0</v>
      </c>
      <c r="AT49">
        <v>0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s="1" t="s">
        <v>656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 s="25">
        <v>0</v>
      </c>
      <c r="AD50" s="29">
        <v>0</v>
      </c>
      <c r="AE50" s="29">
        <v>0</v>
      </c>
      <c r="AF50" s="29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0</v>
      </c>
    </row>
    <row r="51" spans="1:65" x14ac:dyDescent="0.25">
      <c r="A51" s="1" t="s">
        <v>657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 s="25">
        <v>0</v>
      </c>
      <c r="AD51" s="29">
        <v>0</v>
      </c>
      <c r="AE51" s="29">
        <v>0</v>
      </c>
      <c r="AF51" s="29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</row>
    <row r="53" spans="1:65" x14ac:dyDescent="0.25">
      <c r="A53" s="1" t="s">
        <v>834</v>
      </c>
      <c r="B53">
        <f>SUM(B35:B51)</f>
        <v>5</v>
      </c>
      <c r="C53">
        <f t="shared" ref="C53:BM53" si="1">SUM(C35:C51)</f>
        <v>1</v>
      </c>
      <c r="D53">
        <f t="shared" si="1"/>
        <v>1</v>
      </c>
      <c r="E53">
        <f t="shared" si="1"/>
        <v>0</v>
      </c>
      <c r="F53">
        <f t="shared" si="1"/>
        <v>0</v>
      </c>
      <c r="G53">
        <f t="shared" si="1"/>
        <v>1</v>
      </c>
      <c r="H53">
        <f t="shared" si="1"/>
        <v>0</v>
      </c>
      <c r="I53">
        <f t="shared" si="1"/>
        <v>0</v>
      </c>
      <c r="J53">
        <f t="shared" si="1"/>
        <v>6</v>
      </c>
      <c r="K53">
        <f t="shared" si="1"/>
        <v>1</v>
      </c>
      <c r="L53">
        <f t="shared" si="1"/>
        <v>1</v>
      </c>
      <c r="M53">
        <f t="shared" si="1"/>
        <v>3</v>
      </c>
      <c r="N53">
        <f t="shared" si="1"/>
        <v>0</v>
      </c>
      <c r="O53">
        <f t="shared" si="1"/>
        <v>0</v>
      </c>
      <c r="P53">
        <f t="shared" si="1"/>
        <v>0</v>
      </c>
      <c r="Q53">
        <f t="shared" si="1"/>
        <v>0</v>
      </c>
      <c r="R53">
        <f t="shared" si="1"/>
        <v>1</v>
      </c>
      <c r="S53">
        <f t="shared" si="1"/>
        <v>1</v>
      </c>
      <c r="T53">
        <f t="shared" si="1"/>
        <v>6</v>
      </c>
      <c r="U53">
        <f t="shared" si="1"/>
        <v>1</v>
      </c>
      <c r="V53">
        <f t="shared" si="1"/>
        <v>0</v>
      </c>
      <c r="W53">
        <f t="shared" si="1"/>
        <v>1</v>
      </c>
      <c r="X53">
        <f t="shared" si="1"/>
        <v>0</v>
      </c>
      <c r="Y53">
        <f t="shared" si="1"/>
        <v>0</v>
      </c>
      <c r="Z53">
        <f t="shared" si="1"/>
        <v>0</v>
      </c>
      <c r="AA53">
        <f t="shared" si="1"/>
        <v>0</v>
      </c>
      <c r="AB53">
        <f t="shared" si="1"/>
        <v>1</v>
      </c>
      <c r="AC53">
        <f t="shared" si="1"/>
        <v>0</v>
      </c>
      <c r="AD53">
        <f t="shared" si="1"/>
        <v>0</v>
      </c>
      <c r="AE53">
        <f t="shared" si="1"/>
        <v>1</v>
      </c>
      <c r="AF53">
        <f t="shared" si="1"/>
        <v>0</v>
      </c>
      <c r="AG53">
        <f t="shared" si="1"/>
        <v>1</v>
      </c>
      <c r="AH53">
        <f t="shared" si="1"/>
        <v>0</v>
      </c>
      <c r="AI53">
        <f t="shared" si="1"/>
        <v>2</v>
      </c>
      <c r="AJ53">
        <f t="shared" si="1"/>
        <v>0</v>
      </c>
      <c r="AK53">
        <f t="shared" si="1"/>
        <v>16</v>
      </c>
      <c r="AL53">
        <f t="shared" si="1"/>
        <v>5</v>
      </c>
      <c r="AM53">
        <f t="shared" si="1"/>
        <v>0</v>
      </c>
      <c r="AN53">
        <f t="shared" si="1"/>
        <v>0</v>
      </c>
      <c r="AO53">
        <f t="shared" si="1"/>
        <v>1</v>
      </c>
      <c r="AP53">
        <f t="shared" si="1"/>
        <v>1</v>
      </c>
      <c r="AQ53">
        <f t="shared" si="1"/>
        <v>2</v>
      </c>
      <c r="AR53">
        <f t="shared" si="1"/>
        <v>15</v>
      </c>
      <c r="AS53">
        <f t="shared" si="1"/>
        <v>0</v>
      </c>
      <c r="AT53">
        <f t="shared" si="1"/>
        <v>1</v>
      </c>
      <c r="AU53">
        <f t="shared" si="1"/>
        <v>4</v>
      </c>
      <c r="AV53">
        <f t="shared" si="1"/>
        <v>2</v>
      </c>
      <c r="AW53">
        <f t="shared" si="1"/>
        <v>0</v>
      </c>
      <c r="AX53">
        <f t="shared" si="1"/>
        <v>0</v>
      </c>
      <c r="AY53">
        <f t="shared" si="1"/>
        <v>1</v>
      </c>
      <c r="AZ53">
        <f t="shared" si="1"/>
        <v>0</v>
      </c>
      <c r="BA53">
        <f t="shared" si="1"/>
        <v>1</v>
      </c>
      <c r="BB53">
        <f t="shared" si="1"/>
        <v>0</v>
      </c>
      <c r="BC53">
        <f t="shared" si="1"/>
        <v>0</v>
      </c>
      <c r="BD53">
        <f t="shared" si="1"/>
        <v>2</v>
      </c>
      <c r="BE53">
        <f t="shared" si="1"/>
        <v>1</v>
      </c>
      <c r="BF53">
        <f t="shared" si="1"/>
        <v>0</v>
      </c>
      <c r="BG53">
        <f t="shared" si="1"/>
        <v>0</v>
      </c>
      <c r="BH53">
        <f t="shared" si="1"/>
        <v>2</v>
      </c>
      <c r="BI53">
        <f t="shared" si="1"/>
        <v>0</v>
      </c>
      <c r="BJ53">
        <f t="shared" si="1"/>
        <v>0</v>
      </c>
      <c r="BK53">
        <f t="shared" si="1"/>
        <v>5</v>
      </c>
      <c r="BL53">
        <f t="shared" si="1"/>
        <v>1</v>
      </c>
      <c r="BM53">
        <f t="shared" si="1"/>
        <v>0</v>
      </c>
    </row>
    <row r="54" spans="1:65" x14ac:dyDescent="0.25">
      <c r="A54" s="1" t="s">
        <v>835</v>
      </c>
    </row>
    <row r="55" spans="1:65" x14ac:dyDescent="0.25">
      <c r="A55" s="1" t="s">
        <v>837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7.5703125" bestFit="1" customWidth="1"/>
    <col min="2" max="22" width="11.28515625" customWidth="1"/>
    <col min="23" max="23" width="11.140625" customWidth="1"/>
    <col min="24" max="149" width="11.28515625" customWidth="1"/>
    <col min="150" max="186" width="11.28515625" bestFit="1" customWidth="1"/>
  </cols>
  <sheetData>
    <row r="1" spans="1:65" s="13" customFormat="1" x14ac:dyDescent="0.25">
      <c r="A1" s="12" t="s">
        <v>658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s="1" t="s">
        <v>659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</row>
    <row r="4" spans="1:65" x14ac:dyDescent="0.25">
      <c r="A4" s="1" t="s">
        <v>660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s="1" t="s">
        <v>661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s="1" t="s">
        <v>222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</row>
    <row r="7" spans="1:65" x14ac:dyDescent="0.25">
      <c r="A7" s="1" t="s">
        <v>662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s="1" t="s">
        <v>663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0</v>
      </c>
    </row>
    <row r="9" spans="1:65" x14ac:dyDescent="0.25">
      <c r="A9" s="1" t="s">
        <v>664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1</v>
      </c>
      <c r="AP9">
        <v>1</v>
      </c>
      <c r="AQ9">
        <v>0</v>
      </c>
      <c r="AR9">
        <v>1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1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0</v>
      </c>
    </row>
    <row r="10" spans="1:65" x14ac:dyDescent="0.25">
      <c r="A10" s="1" t="s">
        <v>665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 x14ac:dyDescent="0.25">
      <c r="A11" s="1" t="s">
        <v>666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</row>
    <row r="12" spans="1:65" x14ac:dyDescent="0.25">
      <c r="A12" s="1" t="s">
        <v>667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s="1" t="s">
        <v>668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s="1" t="s">
        <v>669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s="1" t="s">
        <v>670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0</v>
      </c>
    </row>
    <row r="16" spans="1:65" x14ac:dyDescent="0.25">
      <c r="A16" s="1" t="s">
        <v>671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</row>
    <row r="17" spans="1:65" x14ac:dyDescent="0.25">
      <c r="A17" s="1" t="s">
        <v>672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 x14ac:dyDescent="0.25">
      <c r="A18" s="1" t="s">
        <v>673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s="1" t="s">
        <v>674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0</v>
      </c>
    </row>
    <row r="20" spans="1:65" x14ac:dyDescent="0.25">
      <c r="A20" s="1" t="s">
        <v>675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s="1" t="s">
        <v>676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</row>
    <row r="22" spans="1:65" x14ac:dyDescent="0.25">
      <c r="A22" s="1" t="s">
        <v>677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s="1" t="s">
        <v>678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 x14ac:dyDescent="0.25">
      <c r="A24" s="1"/>
    </row>
    <row r="25" spans="1:65" x14ac:dyDescent="0.25">
      <c r="A25" s="1" t="s">
        <v>834</v>
      </c>
      <c r="B25">
        <f>SUM(B3:B23)</f>
        <v>1</v>
      </c>
      <c r="C25">
        <f t="shared" ref="C25:BM25" si="0">SUM(C3:C23)</f>
        <v>0</v>
      </c>
      <c r="D25">
        <f t="shared" si="0"/>
        <v>0</v>
      </c>
      <c r="E25">
        <f t="shared" si="0"/>
        <v>0</v>
      </c>
      <c r="F25">
        <f t="shared" si="0"/>
        <v>0</v>
      </c>
      <c r="G25">
        <f t="shared" si="0"/>
        <v>0</v>
      </c>
      <c r="H25">
        <f t="shared" si="0"/>
        <v>0</v>
      </c>
      <c r="I25">
        <f t="shared" si="0"/>
        <v>0</v>
      </c>
      <c r="J25">
        <f t="shared" si="0"/>
        <v>4</v>
      </c>
      <c r="K25">
        <f t="shared" si="0"/>
        <v>0</v>
      </c>
      <c r="L25">
        <f t="shared" si="0"/>
        <v>2</v>
      </c>
      <c r="M25">
        <f t="shared" si="0"/>
        <v>5</v>
      </c>
      <c r="N25">
        <f t="shared" si="0"/>
        <v>1</v>
      </c>
      <c r="O25">
        <f t="shared" si="0"/>
        <v>1</v>
      </c>
      <c r="P25">
        <f t="shared" si="0"/>
        <v>2</v>
      </c>
      <c r="Q25">
        <f t="shared" si="0"/>
        <v>2</v>
      </c>
      <c r="R25">
        <f t="shared" si="0"/>
        <v>1</v>
      </c>
      <c r="S25">
        <f t="shared" si="0"/>
        <v>0</v>
      </c>
      <c r="T25">
        <f t="shared" si="0"/>
        <v>5</v>
      </c>
      <c r="U25">
        <f t="shared" si="0"/>
        <v>0</v>
      </c>
      <c r="V25">
        <f t="shared" si="0"/>
        <v>0</v>
      </c>
      <c r="W25">
        <f t="shared" si="0"/>
        <v>1</v>
      </c>
      <c r="X25">
        <f t="shared" si="0"/>
        <v>1</v>
      </c>
      <c r="Y25">
        <f t="shared" si="0"/>
        <v>0</v>
      </c>
      <c r="Z25">
        <f t="shared" si="0"/>
        <v>0</v>
      </c>
      <c r="AA25">
        <f t="shared" si="0"/>
        <v>0</v>
      </c>
      <c r="AB25">
        <f t="shared" si="0"/>
        <v>0</v>
      </c>
      <c r="AC25">
        <f t="shared" si="0"/>
        <v>0</v>
      </c>
      <c r="AD25">
        <f t="shared" si="0"/>
        <v>0</v>
      </c>
      <c r="AE25">
        <f t="shared" si="0"/>
        <v>0</v>
      </c>
      <c r="AF25">
        <f t="shared" si="0"/>
        <v>0</v>
      </c>
      <c r="AG25">
        <f t="shared" si="0"/>
        <v>0</v>
      </c>
      <c r="AH25">
        <f t="shared" si="0"/>
        <v>0</v>
      </c>
      <c r="AI25">
        <f t="shared" si="0"/>
        <v>0</v>
      </c>
      <c r="AJ25">
        <f t="shared" si="0"/>
        <v>0</v>
      </c>
      <c r="AK25">
        <f t="shared" si="0"/>
        <v>21</v>
      </c>
      <c r="AL25">
        <f t="shared" si="0"/>
        <v>2</v>
      </c>
      <c r="AM25">
        <f t="shared" si="0"/>
        <v>0</v>
      </c>
      <c r="AN25">
        <f t="shared" si="0"/>
        <v>0</v>
      </c>
      <c r="AO25">
        <f t="shared" si="0"/>
        <v>1</v>
      </c>
      <c r="AP25">
        <f t="shared" si="0"/>
        <v>1</v>
      </c>
      <c r="AQ25">
        <f t="shared" si="0"/>
        <v>2</v>
      </c>
      <c r="AR25">
        <f t="shared" si="0"/>
        <v>16</v>
      </c>
      <c r="AS25">
        <f t="shared" si="0"/>
        <v>0</v>
      </c>
      <c r="AT25">
        <f t="shared" si="0"/>
        <v>0</v>
      </c>
      <c r="AU25">
        <f t="shared" si="0"/>
        <v>7</v>
      </c>
      <c r="AV25">
        <f t="shared" si="0"/>
        <v>1</v>
      </c>
      <c r="AW25">
        <f t="shared" si="0"/>
        <v>0</v>
      </c>
      <c r="AX25">
        <f t="shared" si="0"/>
        <v>0</v>
      </c>
      <c r="AY25">
        <f t="shared" si="0"/>
        <v>2</v>
      </c>
      <c r="AZ25">
        <f t="shared" si="0"/>
        <v>1</v>
      </c>
      <c r="BA25">
        <f t="shared" si="0"/>
        <v>1</v>
      </c>
      <c r="BB25">
        <f t="shared" si="0"/>
        <v>0</v>
      </c>
      <c r="BC25">
        <f t="shared" si="0"/>
        <v>0</v>
      </c>
      <c r="BD25">
        <f t="shared" si="0"/>
        <v>3</v>
      </c>
      <c r="BE25">
        <f t="shared" si="0"/>
        <v>0</v>
      </c>
      <c r="BF25">
        <f t="shared" si="0"/>
        <v>0</v>
      </c>
      <c r="BG25">
        <f t="shared" si="0"/>
        <v>0</v>
      </c>
      <c r="BH25">
        <f t="shared" si="0"/>
        <v>2</v>
      </c>
      <c r="BI25">
        <f t="shared" si="0"/>
        <v>0</v>
      </c>
      <c r="BJ25">
        <f t="shared" si="0"/>
        <v>0</v>
      </c>
      <c r="BK25">
        <f t="shared" si="0"/>
        <v>8</v>
      </c>
      <c r="BL25">
        <f t="shared" si="0"/>
        <v>1</v>
      </c>
      <c r="BM25">
        <f t="shared" si="0"/>
        <v>0</v>
      </c>
    </row>
    <row r="26" spans="1:65" x14ac:dyDescent="0.25">
      <c r="A26" s="1" t="s">
        <v>835</v>
      </c>
    </row>
    <row r="27" spans="1:65" x14ac:dyDescent="0.25">
      <c r="A27" s="1" t="s">
        <v>837</v>
      </c>
    </row>
    <row r="28" spans="1:65" s="13" customFormat="1" x14ac:dyDescent="0.25">
      <c r="A28" s="12" t="s">
        <v>679</v>
      </c>
    </row>
    <row r="29" spans="1:65" s="15" customFormat="1" x14ac:dyDescent="0.25">
      <c r="A29" s="15" t="s">
        <v>0</v>
      </c>
      <c r="B29" s="15" t="s">
        <v>880</v>
      </c>
      <c r="C29" s="15" t="s">
        <v>881</v>
      </c>
      <c r="D29" s="15" t="s">
        <v>882</v>
      </c>
      <c r="E29" s="15" t="s">
        <v>883</v>
      </c>
      <c r="F29" s="15" t="s">
        <v>884</v>
      </c>
      <c r="G29" s="15" t="s">
        <v>885</v>
      </c>
      <c r="H29" s="15" t="s">
        <v>886</v>
      </c>
      <c r="I29" s="15" t="s">
        <v>893</v>
      </c>
      <c r="J29" s="15" t="s">
        <v>887</v>
      </c>
      <c r="K29" s="15" t="s">
        <v>888</v>
      </c>
      <c r="L29" s="15" t="s">
        <v>889</v>
      </c>
      <c r="M29" s="15" t="s">
        <v>890</v>
      </c>
      <c r="N29" s="15" t="s">
        <v>891</v>
      </c>
      <c r="O29" s="15" t="s">
        <v>892</v>
      </c>
      <c r="P29" s="15" t="s">
        <v>894</v>
      </c>
      <c r="Q29" s="15" t="s">
        <v>895</v>
      </c>
      <c r="R29" s="15" t="s">
        <v>896</v>
      </c>
      <c r="S29" s="15" t="s">
        <v>897</v>
      </c>
      <c r="T29" s="15" t="s">
        <v>898</v>
      </c>
      <c r="U29" s="15" t="s">
        <v>899</v>
      </c>
      <c r="V29" s="15" t="s">
        <v>900</v>
      </c>
      <c r="W29" s="15" t="s">
        <v>901</v>
      </c>
      <c r="X29" s="15" t="s">
        <v>902</v>
      </c>
      <c r="Y29" s="15" t="s">
        <v>903</v>
      </c>
      <c r="Z29" s="15" t="s">
        <v>904</v>
      </c>
      <c r="AA29" s="15" t="s">
        <v>905</v>
      </c>
      <c r="AB29" s="15" t="s">
        <v>906</v>
      </c>
      <c r="AC29" s="15" t="s">
        <v>907</v>
      </c>
      <c r="AD29" s="15" t="s">
        <v>908</v>
      </c>
      <c r="AE29" s="15" t="s">
        <v>909</v>
      </c>
      <c r="AF29" s="15" t="s">
        <v>910</v>
      </c>
      <c r="AG29" s="15" t="s">
        <v>911</v>
      </c>
      <c r="AH29" s="15" t="s">
        <v>912</v>
      </c>
      <c r="AI29" s="15" t="s">
        <v>913</v>
      </c>
      <c r="AJ29" s="15" t="s">
        <v>914</v>
      </c>
      <c r="AK29" s="15" t="s">
        <v>915</v>
      </c>
      <c r="AL29" s="15" t="s">
        <v>916</v>
      </c>
      <c r="AM29" s="15" t="s">
        <v>917</v>
      </c>
      <c r="AN29" s="15" t="s">
        <v>918</v>
      </c>
      <c r="AO29" s="15" t="s">
        <v>919</v>
      </c>
      <c r="AP29" s="15" t="s">
        <v>920</v>
      </c>
      <c r="AQ29" s="15" t="s">
        <v>921</v>
      </c>
      <c r="AR29" s="15" t="s">
        <v>922</v>
      </c>
      <c r="AS29" s="15" t="s">
        <v>923</v>
      </c>
      <c r="AT29" s="15" t="s">
        <v>924</v>
      </c>
      <c r="AU29" s="15" t="s">
        <v>925</v>
      </c>
      <c r="AV29" s="15" t="s">
        <v>926</v>
      </c>
      <c r="AW29" s="15" t="s">
        <v>927</v>
      </c>
      <c r="AX29" s="15" t="s">
        <v>928</v>
      </c>
      <c r="AY29" s="15" t="s">
        <v>929</v>
      </c>
      <c r="AZ29" s="15" t="s">
        <v>930</v>
      </c>
      <c r="BA29" s="15" t="s">
        <v>931</v>
      </c>
      <c r="BB29" s="15" t="s">
        <v>932</v>
      </c>
      <c r="BC29" s="15" t="s">
        <v>933</v>
      </c>
      <c r="BD29" s="15" t="s">
        <v>934</v>
      </c>
      <c r="BE29" s="15" t="s">
        <v>935</v>
      </c>
      <c r="BF29" s="15" t="s">
        <v>936</v>
      </c>
      <c r="BG29" s="15" t="s">
        <v>937</v>
      </c>
      <c r="BH29" s="15" t="s">
        <v>938</v>
      </c>
      <c r="BI29" s="15" t="s">
        <v>939</v>
      </c>
      <c r="BJ29" s="15" t="s">
        <v>940</v>
      </c>
      <c r="BK29" s="15" t="s">
        <v>941</v>
      </c>
      <c r="BL29" s="15" t="s">
        <v>942</v>
      </c>
      <c r="BM29" s="15" t="s">
        <v>943</v>
      </c>
    </row>
    <row r="30" spans="1:65" x14ac:dyDescent="0.25">
      <c r="A30" s="1" t="s">
        <v>680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s="1" t="s">
        <v>681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s="1" t="s">
        <v>682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s="1" t="s">
        <v>683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s="1" t="s">
        <v>684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s="1" t="s">
        <v>685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7" spans="1:65" x14ac:dyDescent="0.25">
      <c r="A37" s="1" t="s">
        <v>834</v>
      </c>
      <c r="B37">
        <f>SUM(B30:B35)</f>
        <v>0</v>
      </c>
      <c r="C37">
        <f t="shared" ref="C37:BM37" si="1">SUM(C30:C35)</f>
        <v>0</v>
      </c>
      <c r="D37">
        <f t="shared" si="1"/>
        <v>0</v>
      </c>
      <c r="E37">
        <f t="shared" si="1"/>
        <v>0</v>
      </c>
      <c r="F37">
        <f t="shared" si="1"/>
        <v>0</v>
      </c>
      <c r="G37">
        <f t="shared" si="1"/>
        <v>0</v>
      </c>
      <c r="H37">
        <f t="shared" si="1"/>
        <v>0</v>
      </c>
      <c r="I37">
        <f t="shared" si="1"/>
        <v>0</v>
      </c>
      <c r="J37">
        <f t="shared" si="1"/>
        <v>1</v>
      </c>
      <c r="K37">
        <f t="shared" si="1"/>
        <v>0</v>
      </c>
      <c r="L37">
        <f t="shared" si="1"/>
        <v>0</v>
      </c>
      <c r="M37">
        <f t="shared" si="1"/>
        <v>0</v>
      </c>
      <c r="N37">
        <f t="shared" si="1"/>
        <v>1</v>
      </c>
      <c r="O37">
        <f t="shared" si="1"/>
        <v>0</v>
      </c>
      <c r="P37">
        <f t="shared" si="1"/>
        <v>0</v>
      </c>
      <c r="Q37">
        <f t="shared" si="1"/>
        <v>0</v>
      </c>
      <c r="R37">
        <f t="shared" si="1"/>
        <v>0</v>
      </c>
      <c r="S37">
        <f t="shared" si="1"/>
        <v>0</v>
      </c>
      <c r="T37">
        <f t="shared" si="1"/>
        <v>0</v>
      </c>
      <c r="U37">
        <f t="shared" si="1"/>
        <v>0</v>
      </c>
      <c r="V37">
        <f t="shared" si="1"/>
        <v>0</v>
      </c>
      <c r="W37">
        <f t="shared" si="1"/>
        <v>0</v>
      </c>
      <c r="X37">
        <f t="shared" si="1"/>
        <v>0</v>
      </c>
      <c r="Y37">
        <f t="shared" si="1"/>
        <v>0</v>
      </c>
      <c r="Z37">
        <f t="shared" si="1"/>
        <v>0</v>
      </c>
      <c r="AA37">
        <f t="shared" si="1"/>
        <v>0</v>
      </c>
      <c r="AB37">
        <f t="shared" si="1"/>
        <v>0</v>
      </c>
      <c r="AC37">
        <f t="shared" si="1"/>
        <v>0</v>
      </c>
      <c r="AD37">
        <f t="shared" si="1"/>
        <v>0</v>
      </c>
      <c r="AE37">
        <f t="shared" si="1"/>
        <v>0</v>
      </c>
      <c r="AF37">
        <f t="shared" si="1"/>
        <v>0</v>
      </c>
      <c r="AG37">
        <f t="shared" si="1"/>
        <v>0</v>
      </c>
      <c r="AH37">
        <f t="shared" si="1"/>
        <v>0</v>
      </c>
      <c r="AI37">
        <f t="shared" si="1"/>
        <v>0</v>
      </c>
      <c r="AJ37">
        <f t="shared" si="1"/>
        <v>0</v>
      </c>
      <c r="AK37">
        <f t="shared" si="1"/>
        <v>6</v>
      </c>
      <c r="AL37">
        <f t="shared" si="1"/>
        <v>1</v>
      </c>
      <c r="AM37">
        <f t="shared" si="1"/>
        <v>0</v>
      </c>
      <c r="AN37">
        <f t="shared" si="1"/>
        <v>0</v>
      </c>
      <c r="AO37">
        <f t="shared" si="1"/>
        <v>0</v>
      </c>
      <c r="AP37">
        <f t="shared" si="1"/>
        <v>0</v>
      </c>
      <c r="AQ37">
        <f t="shared" si="1"/>
        <v>0</v>
      </c>
      <c r="AR37">
        <f t="shared" si="1"/>
        <v>5</v>
      </c>
      <c r="AS37">
        <f t="shared" si="1"/>
        <v>0</v>
      </c>
      <c r="AT37">
        <f t="shared" si="1"/>
        <v>0</v>
      </c>
      <c r="AU37">
        <f t="shared" si="1"/>
        <v>1</v>
      </c>
      <c r="AV37">
        <f t="shared" si="1"/>
        <v>0</v>
      </c>
      <c r="AW37">
        <f t="shared" si="1"/>
        <v>0</v>
      </c>
      <c r="AX37">
        <f t="shared" si="1"/>
        <v>0</v>
      </c>
      <c r="AY37">
        <f t="shared" si="1"/>
        <v>0</v>
      </c>
      <c r="AZ37">
        <f t="shared" si="1"/>
        <v>0</v>
      </c>
      <c r="BA37">
        <f t="shared" si="1"/>
        <v>0</v>
      </c>
      <c r="BB37">
        <f t="shared" si="1"/>
        <v>0</v>
      </c>
      <c r="BC37">
        <f t="shared" si="1"/>
        <v>0</v>
      </c>
      <c r="BD37">
        <f t="shared" si="1"/>
        <v>0</v>
      </c>
      <c r="BE37">
        <f t="shared" si="1"/>
        <v>0</v>
      </c>
      <c r="BF37">
        <f t="shared" si="1"/>
        <v>0</v>
      </c>
      <c r="BG37">
        <f t="shared" si="1"/>
        <v>0</v>
      </c>
      <c r="BH37">
        <f t="shared" si="1"/>
        <v>0</v>
      </c>
      <c r="BI37">
        <f t="shared" si="1"/>
        <v>0</v>
      </c>
      <c r="BJ37">
        <f t="shared" si="1"/>
        <v>0</v>
      </c>
      <c r="BK37">
        <f t="shared" si="1"/>
        <v>0</v>
      </c>
      <c r="BL37">
        <f t="shared" si="1"/>
        <v>0</v>
      </c>
      <c r="BM37">
        <f t="shared" si="1"/>
        <v>0</v>
      </c>
    </row>
    <row r="38" spans="1:65" x14ac:dyDescent="0.25">
      <c r="A38" s="1" t="s">
        <v>835</v>
      </c>
    </row>
    <row r="39" spans="1:65" x14ac:dyDescent="0.25">
      <c r="A39" s="1" t="s">
        <v>837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G3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43" width="11.28515625" customWidth="1"/>
    <col min="144" max="190" width="11.28515625" bestFit="1" customWidth="1"/>
  </cols>
  <sheetData>
    <row r="1" spans="1:189" s="13" customFormat="1" x14ac:dyDescent="0.25">
      <c r="A1" s="12" t="s">
        <v>688</v>
      </c>
    </row>
    <row r="2" spans="1:189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189" x14ac:dyDescent="0.25">
      <c r="A3" t="s">
        <v>689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189" x14ac:dyDescent="0.25">
      <c r="A4" t="s">
        <v>193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  <c r="AL4">
        <v>1</v>
      </c>
      <c r="AM4">
        <v>1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  <c r="AU4">
        <v>1</v>
      </c>
      <c r="AV4">
        <v>1</v>
      </c>
      <c r="AW4">
        <v>0</v>
      </c>
      <c r="AX4">
        <v>0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0</v>
      </c>
    </row>
    <row r="5" spans="1:189" x14ac:dyDescent="0.25">
      <c r="A5" t="s">
        <v>690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189" x14ac:dyDescent="0.25">
      <c r="A6" t="s">
        <v>691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189" x14ac:dyDescent="0.25">
      <c r="A7" t="s">
        <v>692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1</v>
      </c>
      <c r="AL7">
        <v>1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1</v>
      </c>
      <c r="BL7">
        <v>1</v>
      </c>
      <c r="BM7">
        <v>0</v>
      </c>
    </row>
    <row r="8" spans="1:189" x14ac:dyDescent="0.25">
      <c r="FX8" s="9"/>
      <c r="GA8" s="9"/>
      <c r="GD8" s="9"/>
      <c r="GG8" s="9"/>
    </row>
    <row r="9" spans="1:189" x14ac:dyDescent="0.25">
      <c r="A9" s="1" t="s">
        <v>834</v>
      </c>
      <c r="B9">
        <f>SUM(B3:B7)</f>
        <v>3</v>
      </c>
      <c r="C9">
        <f t="shared" ref="C9:BM9" si="0">SUM(C3:C7)</f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2</v>
      </c>
      <c r="J9">
        <f t="shared" si="0"/>
        <v>2</v>
      </c>
      <c r="K9">
        <f t="shared" si="0"/>
        <v>0</v>
      </c>
      <c r="L9">
        <f t="shared" si="0"/>
        <v>0</v>
      </c>
      <c r="M9">
        <f t="shared" si="0"/>
        <v>2</v>
      </c>
      <c r="N9">
        <f t="shared" si="0"/>
        <v>2</v>
      </c>
      <c r="O9">
        <f t="shared" si="0"/>
        <v>1</v>
      </c>
      <c r="P9">
        <f t="shared" si="0"/>
        <v>0</v>
      </c>
      <c r="Q9">
        <f t="shared" si="0"/>
        <v>0</v>
      </c>
      <c r="R9">
        <f t="shared" si="0"/>
        <v>1</v>
      </c>
      <c r="S9">
        <f t="shared" si="0"/>
        <v>1</v>
      </c>
      <c r="T9">
        <f t="shared" si="0"/>
        <v>2</v>
      </c>
      <c r="U9">
        <f t="shared" si="0"/>
        <v>0</v>
      </c>
      <c r="V9">
        <f t="shared" si="0"/>
        <v>0</v>
      </c>
      <c r="W9">
        <f t="shared" si="0"/>
        <v>1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1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1</v>
      </c>
      <c r="AG9">
        <f t="shared" si="0"/>
        <v>1</v>
      </c>
      <c r="AH9">
        <f t="shared" si="0"/>
        <v>0</v>
      </c>
      <c r="AI9">
        <f t="shared" si="0"/>
        <v>2</v>
      </c>
      <c r="AJ9">
        <f t="shared" si="0"/>
        <v>1</v>
      </c>
      <c r="AK9">
        <f t="shared" si="0"/>
        <v>2</v>
      </c>
      <c r="AL9">
        <f t="shared" si="0"/>
        <v>2</v>
      </c>
      <c r="AM9">
        <f t="shared" si="0"/>
        <v>2</v>
      </c>
      <c r="AN9">
        <f t="shared" si="0"/>
        <v>0</v>
      </c>
      <c r="AO9">
        <f t="shared" si="0"/>
        <v>0</v>
      </c>
      <c r="AP9">
        <f t="shared" si="0"/>
        <v>1</v>
      </c>
      <c r="AQ9">
        <f t="shared" si="0"/>
        <v>2</v>
      </c>
      <c r="AR9">
        <f t="shared" si="0"/>
        <v>3</v>
      </c>
      <c r="AS9">
        <f t="shared" si="0"/>
        <v>0</v>
      </c>
      <c r="AT9">
        <f t="shared" si="0"/>
        <v>1</v>
      </c>
      <c r="AU9">
        <f t="shared" si="0"/>
        <v>3</v>
      </c>
      <c r="AV9">
        <f t="shared" si="0"/>
        <v>2</v>
      </c>
      <c r="AW9">
        <f t="shared" si="0"/>
        <v>0</v>
      </c>
      <c r="AX9">
        <f t="shared" si="0"/>
        <v>0</v>
      </c>
      <c r="AY9">
        <f t="shared" si="0"/>
        <v>1</v>
      </c>
      <c r="AZ9">
        <f t="shared" si="0"/>
        <v>2</v>
      </c>
      <c r="BA9">
        <f t="shared" si="0"/>
        <v>0</v>
      </c>
      <c r="BB9">
        <f t="shared" si="0"/>
        <v>0</v>
      </c>
      <c r="BC9">
        <f t="shared" si="0"/>
        <v>0</v>
      </c>
      <c r="BD9">
        <f t="shared" si="0"/>
        <v>1</v>
      </c>
      <c r="BE9">
        <f t="shared" si="0"/>
        <v>0</v>
      </c>
      <c r="BF9">
        <f t="shared" si="0"/>
        <v>0</v>
      </c>
      <c r="BG9">
        <f t="shared" si="0"/>
        <v>0</v>
      </c>
      <c r="BH9">
        <f t="shared" si="0"/>
        <v>2</v>
      </c>
      <c r="BI9">
        <f t="shared" si="0"/>
        <v>0</v>
      </c>
      <c r="BJ9">
        <f t="shared" si="0"/>
        <v>0</v>
      </c>
      <c r="BK9">
        <f t="shared" si="0"/>
        <v>1</v>
      </c>
      <c r="BL9">
        <f t="shared" si="0"/>
        <v>2</v>
      </c>
      <c r="BM9">
        <f t="shared" si="0"/>
        <v>0</v>
      </c>
    </row>
    <row r="10" spans="1:189" x14ac:dyDescent="0.25">
      <c r="A10" s="1" t="s">
        <v>850</v>
      </c>
      <c r="GA10" s="9"/>
      <c r="GG10" s="9"/>
    </row>
    <row r="11" spans="1:189" x14ac:dyDescent="0.25">
      <c r="A11" s="1" t="s">
        <v>863</v>
      </c>
    </row>
    <row r="12" spans="1:189" s="13" customFormat="1" x14ac:dyDescent="0.25">
      <c r="A12" s="12" t="s">
        <v>693</v>
      </c>
    </row>
    <row r="13" spans="1:189" s="15" customFormat="1" x14ac:dyDescent="0.25">
      <c r="A13" s="15" t="s">
        <v>0</v>
      </c>
      <c r="B13" s="15" t="s">
        <v>880</v>
      </c>
      <c r="C13" s="15" t="s">
        <v>881</v>
      </c>
      <c r="D13" s="15" t="s">
        <v>882</v>
      </c>
      <c r="E13" s="15" t="s">
        <v>883</v>
      </c>
      <c r="F13" s="15" t="s">
        <v>884</v>
      </c>
      <c r="G13" s="15" t="s">
        <v>885</v>
      </c>
      <c r="H13" s="15" t="s">
        <v>886</v>
      </c>
      <c r="I13" s="15" t="s">
        <v>893</v>
      </c>
      <c r="J13" s="15" t="s">
        <v>887</v>
      </c>
      <c r="K13" s="15" t="s">
        <v>888</v>
      </c>
      <c r="L13" s="15" t="s">
        <v>889</v>
      </c>
      <c r="M13" s="15" t="s">
        <v>890</v>
      </c>
      <c r="N13" s="15" t="s">
        <v>891</v>
      </c>
      <c r="O13" s="15" t="s">
        <v>892</v>
      </c>
      <c r="P13" s="15" t="s">
        <v>894</v>
      </c>
      <c r="Q13" s="15" t="s">
        <v>895</v>
      </c>
      <c r="R13" s="15" t="s">
        <v>896</v>
      </c>
      <c r="S13" s="15" t="s">
        <v>897</v>
      </c>
      <c r="T13" s="15" t="s">
        <v>898</v>
      </c>
      <c r="U13" s="15" t="s">
        <v>899</v>
      </c>
      <c r="V13" s="15" t="s">
        <v>900</v>
      </c>
      <c r="W13" s="15" t="s">
        <v>901</v>
      </c>
      <c r="X13" s="15" t="s">
        <v>902</v>
      </c>
      <c r="Y13" s="15" t="s">
        <v>903</v>
      </c>
      <c r="Z13" s="15" t="s">
        <v>904</v>
      </c>
      <c r="AA13" s="15" t="s">
        <v>905</v>
      </c>
      <c r="AB13" s="15" t="s">
        <v>906</v>
      </c>
      <c r="AC13" s="15" t="s">
        <v>907</v>
      </c>
      <c r="AD13" s="15" t="s">
        <v>908</v>
      </c>
      <c r="AE13" s="15" t="s">
        <v>909</v>
      </c>
      <c r="AF13" s="15" t="s">
        <v>910</v>
      </c>
      <c r="AG13" s="15" t="s">
        <v>911</v>
      </c>
      <c r="AH13" s="15" t="s">
        <v>912</v>
      </c>
      <c r="AI13" s="15" t="s">
        <v>913</v>
      </c>
      <c r="AJ13" s="15" t="s">
        <v>914</v>
      </c>
      <c r="AK13" s="15" t="s">
        <v>915</v>
      </c>
      <c r="AL13" s="15" t="s">
        <v>916</v>
      </c>
      <c r="AM13" s="15" t="s">
        <v>917</v>
      </c>
      <c r="AN13" s="15" t="s">
        <v>918</v>
      </c>
      <c r="AO13" s="15" t="s">
        <v>919</v>
      </c>
      <c r="AP13" s="15" t="s">
        <v>920</v>
      </c>
      <c r="AQ13" s="15" t="s">
        <v>921</v>
      </c>
      <c r="AR13" s="15" t="s">
        <v>922</v>
      </c>
      <c r="AS13" s="15" t="s">
        <v>923</v>
      </c>
      <c r="AT13" s="15" t="s">
        <v>924</v>
      </c>
      <c r="AU13" s="15" t="s">
        <v>925</v>
      </c>
      <c r="AV13" s="15" t="s">
        <v>926</v>
      </c>
      <c r="AW13" s="15" t="s">
        <v>927</v>
      </c>
      <c r="AX13" s="15" t="s">
        <v>928</v>
      </c>
      <c r="AY13" s="15" t="s">
        <v>929</v>
      </c>
      <c r="AZ13" s="15" t="s">
        <v>930</v>
      </c>
      <c r="BA13" s="15" t="s">
        <v>931</v>
      </c>
      <c r="BB13" s="15" t="s">
        <v>932</v>
      </c>
      <c r="BC13" s="15" t="s">
        <v>933</v>
      </c>
      <c r="BD13" s="15" t="s">
        <v>934</v>
      </c>
      <c r="BE13" s="15" t="s">
        <v>935</v>
      </c>
      <c r="BF13" s="15" t="s">
        <v>936</v>
      </c>
      <c r="BG13" s="15" t="s">
        <v>937</v>
      </c>
      <c r="BH13" s="15" t="s">
        <v>938</v>
      </c>
      <c r="BI13" s="15" t="s">
        <v>939</v>
      </c>
      <c r="BJ13" s="15" t="s">
        <v>940</v>
      </c>
      <c r="BK13" s="15" t="s">
        <v>941</v>
      </c>
      <c r="BL13" s="15" t="s">
        <v>942</v>
      </c>
      <c r="BM13" s="15" t="s">
        <v>943</v>
      </c>
    </row>
    <row r="14" spans="1:189" x14ac:dyDescent="0.25">
      <c r="A14" t="s">
        <v>694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189" x14ac:dyDescent="0.25">
      <c r="A15" t="s">
        <v>695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189" x14ac:dyDescent="0.25">
      <c r="A16" t="s">
        <v>696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 x14ac:dyDescent="0.25">
      <c r="A17" t="s">
        <v>697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1</v>
      </c>
      <c r="BL17">
        <v>0</v>
      </c>
      <c r="BM17">
        <v>0</v>
      </c>
    </row>
    <row r="18" spans="1:65" x14ac:dyDescent="0.25">
      <c r="A18" t="s">
        <v>698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25">
      <c r="A19" t="s">
        <v>699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</row>
    <row r="20" spans="1:65" x14ac:dyDescent="0.25">
      <c r="A20" t="s">
        <v>700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</row>
    <row r="21" spans="1:65" x14ac:dyDescent="0.25">
      <c r="A21" t="s">
        <v>701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1</v>
      </c>
      <c r="BI21">
        <v>0</v>
      </c>
      <c r="BJ21">
        <v>0</v>
      </c>
      <c r="BK21">
        <v>0</v>
      </c>
      <c r="BL21">
        <v>1</v>
      </c>
      <c r="BM21">
        <v>0</v>
      </c>
    </row>
    <row r="22" spans="1:65" x14ac:dyDescent="0.25">
      <c r="A22" t="s">
        <v>702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</row>
    <row r="23" spans="1:65" x14ac:dyDescent="0.25">
      <c r="A23" t="s">
        <v>703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0</v>
      </c>
    </row>
    <row r="24" spans="1:65" x14ac:dyDescent="0.25">
      <c r="A24" t="s">
        <v>704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t="s">
        <v>705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706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707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 x14ac:dyDescent="0.25">
      <c r="A28" t="s">
        <v>708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t="s">
        <v>709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t="s">
        <v>710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t="s">
        <v>711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t="s">
        <v>712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t="s">
        <v>713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5" spans="1:65" x14ac:dyDescent="0.25">
      <c r="A35" s="1" t="s">
        <v>834</v>
      </c>
      <c r="B35">
        <f>SUM(B14:B33)</f>
        <v>2</v>
      </c>
      <c r="C35">
        <f t="shared" ref="C35:BM35" si="1">SUM(C14:C33)</f>
        <v>0</v>
      </c>
      <c r="D35">
        <f t="shared" si="1"/>
        <v>0</v>
      </c>
      <c r="E35">
        <f t="shared" si="1"/>
        <v>0</v>
      </c>
      <c r="F35">
        <f t="shared" si="1"/>
        <v>0</v>
      </c>
      <c r="G35">
        <f t="shared" si="1"/>
        <v>0</v>
      </c>
      <c r="H35">
        <f t="shared" si="1"/>
        <v>0</v>
      </c>
      <c r="I35">
        <f t="shared" si="1"/>
        <v>0</v>
      </c>
      <c r="J35">
        <f t="shared" si="1"/>
        <v>0</v>
      </c>
      <c r="K35">
        <f t="shared" si="1"/>
        <v>0</v>
      </c>
      <c r="L35">
        <f t="shared" si="1"/>
        <v>1</v>
      </c>
      <c r="M35">
        <f t="shared" si="1"/>
        <v>3</v>
      </c>
      <c r="N35">
        <f t="shared" si="1"/>
        <v>0</v>
      </c>
      <c r="O35">
        <f t="shared" si="1"/>
        <v>0</v>
      </c>
      <c r="P35">
        <f t="shared" si="1"/>
        <v>1</v>
      </c>
      <c r="Q35">
        <f t="shared" si="1"/>
        <v>1</v>
      </c>
      <c r="R35">
        <f t="shared" si="1"/>
        <v>2</v>
      </c>
      <c r="S35">
        <f t="shared" si="1"/>
        <v>0</v>
      </c>
      <c r="T35">
        <f t="shared" si="1"/>
        <v>3</v>
      </c>
      <c r="U35">
        <f t="shared" si="1"/>
        <v>0</v>
      </c>
      <c r="V35">
        <f t="shared" si="1"/>
        <v>0</v>
      </c>
      <c r="W35">
        <f t="shared" si="1"/>
        <v>0</v>
      </c>
      <c r="X35">
        <f t="shared" si="1"/>
        <v>0</v>
      </c>
      <c r="Y35">
        <f t="shared" si="1"/>
        <v>0</v>
      </c>
      <c r="Z35">
        <f t="shared" si="1"/>
        <v>0</v>
      </c>
      <c r="AA35">
        <f t="shared" si="1"/>
        <v>0</v>
      </c>
      <c r="AB35">
        <f t="shared" si="1"/>
        <v>0</v>
      </c>
      <c r="AC35">
        <f t="shared" si="1"/>
        <v>0</v>
      </c>
      <c r="AD35">
        <f t="shared" si="1"/>
        <v>0</v>
      </c>
      <c r="AE35">
        <f t="shared" si="1"/>
        <v>1</v>
      </c>
      <c r="AF35">
        <f t="shared" si="1"/>
        <v>0</v>
      </c>
      <c r="AG35">
        <f t="shared" si="1"/>
        <v>0</v>
      </c>
      <c r="AH35">
        <f t="shared" si="1"/>
        <v>0</v>
      </c>
      <c r="AI35">
        <f t="shared" si="1"/>
        <v>0</v>
      </c>
      <c r="AJ35">
        <f t="shared" si="1"/>
        <v>0</v>
      </c>
      <c r="AK35">
        <f t="shared" si="1"/>
        <v>18</v>
      </c>
      <c r="AL35">
        <f t="shared" si="1"/>
        <v>1</v>
      </c>
      <c r="AM35">
        <f t="shared" si="1"/>
        <v>0</v>
      </c>
      <c r="AN35">
        <f t="shared" si="1"/>
        <v>0</v>
      </c>
      <c r="AO35">
        <f t="shared" si="1"/>
        <v>0</v>
      </c>
      <c r="AP35">
        <f t="shared" si="1"/>
        <v>0</v>
      </c>
      <c r="AQ35">
        <f t="shared" si="1"/>
        <v>2</v>
      </c>
      <c r="AR35">
        <f t="shared" si="1"/>
        <v>5</v>
      </c>
      <c r="AS35">
        <f t="shared" si="1"/>
        <v>0</v>
      </c>
      <c r="AT35">
        <f t="shared" si="1"/>
        <v>0</v>
      </c>
      <c r="AU35">
        <f t="shared" si="1"/>
        <v>1</v>
      </c>
      <c r="AV35">
        <f t="shared" si="1"/>
        <v>0</v>
      </c>
      <c r="AW35">
        <f t="shared" si="1"/>
        <v>0</v>
      </c>
      <c r="AX35">
        <f t="shared" si="1"/>
        <v>0</v>
      </c>
      <c r="AY35">
        <f t="shared" si="1"/>
        <v>0</v>
      </c>
      <c r="AZ35">
        <f t="shared" si="1"/>
        <v>0</v>
      </c>
      <c r="BA35">
        <f t="shared" si="1"/>
        <v>0</v>
      </c>
      <c r="BB35">
        <f t="shared" si="1"/>
        <v>0</v>
      </c>
      <c r="BC35">
        <f t="shared" si="1"/>
        <v>0</v>
      </c>
      <c r="BD35">
        <f t="shared" si="1"/>
        <v>0</v>
      </c>
      <c r="BE35">
        <f t="shared" si="1"/>
        <v>0</v>
      </c>
      <c r="BF35">
        <f t="shared" si="1"/>
        <v>0</v>
      </c>
      <c r="BG35">
        <f t="shared" si="1"/>
        <v>0</v>
      </c>
      <c r="BH35">
        <f t="shared" si="1"/>
        <v>2</v>
      </c>
      <c r="BI35">
        <f t="shared" si="1"/>
        <v>0</v>
      </c>
      <c r="BJ35">
        <f t="shared" si="1"/>
        <v>0</v>
      </c>
      <c r="BK35">
        <f t="shared" si="1"/>
        <v>2</v>
      </c>
      <c r="BL35">
        <f t="shared" si="1"/>
        <v>1</v>
      </c>
      <c r="BM35">
        <f t="shared" si="1"/>
        <v>0</v>
      </c>
    </row>
    <row r="36" spans="1:65" x14ac:dyDescent="0.25">
      <c r="A36" s="1" t="s">
        <v>850</v>
      </c>
    </row>
    <row r="37" spans="1:65" x14ac:dyDescent="0.25">
      <c r="A37" s="1" t="s">
        <v>863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5" x14ac:dyDescent="0.25"/>
  <cols>
    <col min="1" max="1" width="12.42578125" bestFit="1" customWidth="1"/>
    <col min="2" max="125" width="11.28515625" customWidth="1"/>
    <col min="126" max="161" width="11.28515625" bestFit="1" customWidth="1"/>
  </cols>
  <sheetData>
    <row r="1" spans="1:65" s="13" customFormat="1" x14ac:dyDescent="0.25">
      <c r="A1" s="12" t="s">
        <v>688</v>
      </c>
    </row>
    <row r="2" spans="1:65" s="15" customFormat="1" x14ac:dyDescent="0.25">
      <c r="A2" s="15" t="s">
        <v>0</v>
      </c>
      <c r="B2" s="15" t="s">
        <v>880</v>
      </c>
      <c r="C2" s="15" t="s">
        <v>881</v>
      </c>
      <c r="D2" s="15" t="s">
        <v>882</v>
      </c>
      <c r="E2" s="15" t="s">
        <v>883</v>
      </c>
      <c r="F2" s="15" t="s">
        <v>884</v>
      </c>
      <c r="G2" s="15" t="s">
        <v>885</v>
      </c>
      <c r="H2" s="15" t="s">
        <v>886</v>
      </c>
      <c r="I2" s="15" t="s">
        <v>893</v>
      </c>
      <c r="J2" s="15" t="s">
        <v>887</v>
      </c>
      <c r="K2" s="15" t="s">
        <v>888</v>
      </c>
      <c r="L2" s="15" t="s">
        <v>889</v>
      </c>
      <c r="M2" s="15" t="s">
        <v>890</v>
      </c>
      <c r="N2" s="15" t="s">
        <v>891</v>
      </c>
      <c r="O2" s="15" t="s">
        <v>892</v>
      </c>
      <c r="P2" s="15" t="s">
        <v>894</v>
      </c>
      <c r="Q2" s="15" t="s">
        <v>895</v>
      </c>
      <c r="R2" s="15" t="s">
        <v>896</v>
      </c>
      <c r="S2" s="15" t="s">
        <v>897</v>
      </c>
      <c r="T2" s="15" t="s">
        <v>898</v>
      </c>
      <c r="U2" s="15" t="s">
        <v>899</v>
      </c>
      <c r="V2" s="15" t="s">
        <v>900</v>
      </c>
      <c r="W2" s="15" t="s">
        <v>901</v>
      </c>
      <c r="X2" s="15" t="s">
        <v>902</v>
      </c>
      <c r="Y2" s="15" t="s">
        <v>903</v>
      </c>
      <c r="Z2" s="15" t="s">
        <v>904</v>
      </c>
      <c r="AA2" s="15" t="s">
        <v>905</v>
      </c>
      <c r="AB2" s="15" t="s">
        <v>906</v>
      </c>
      <c r="AC2" s="15" t="s">
        <v>907</v>
      </c>
      <c r="AD2" s="15" t="s">
        <v>908</v>
      </c>
      <c r="AE2" s="15" t="s">
        <v>909</v>
      </c>
      <c r="AF2" s="15" t="s">
        <v>910</v>
      </c>
      <c r="AG2" s="15" t="s">
        <v>911</v>
      </c>
      <c r="AH2" s="15" t="s">
        <v>912</v>
      </c>
      <c r="AI2" s="15" t="s">
        <v>913</v>
      </c>
      <c r="AJ2" s="15" t="s">
        <v>914</v>
      </c>
      <c r="AK2" s="15" t="s">
        <v>915</v>
      </c>
      <c r="AL2" s="15" t="s">
        <v>916</v>
      </c>
      <c r="AM2" s="15" t="s">
        <v>917</v>
      </c>
      <c r="AN2" s="15" t="s">
        <v>918</v>
      </c>
      <c r="AO2" s="15" t="s">
        <v>919</v>
      </c>
      <c r="AP2" s="15" t="s">
        <v>920</v>
      </c>
      <c r="AQ2" s="15" t="s">
        <v>921</v>
      </c>
      <c r="AR2" s="15" t="s">
        <v>922</v>
      </c>
      <c r="AS2" s="15" t="s">
        <v>923</v>
      </c>
      <c r="AT2" s="15" t="s">
        <v>924</v>
      </c>
      <c r="AU2" s="15" t="s">
        <v>925</v>
      </c>
      <c r="AV2" s="15" t="s">
        <v>926</v>
      </c>
      <c r="AW2" s="15" t="s">
        <v>927</v>
      </c>
      <c r="AX2" s="15" t="s">
        <v>928</v>
      </c>
      <c r="AY2" s="15" t="s">
        <v>929</v>
      </c>
      <c r="AZ2" s="15" t="s">
        <v>930</v>
      </c>
      <c r="BA2" s="15" t="s">
        <v>931</v>
      </c>
      <c r="BB2" s="15" t="s">
        <v>932</v>
      </c>
      <c r="BC2" s="15" t="s">
        <v>933</v>
      </c>
      <c r="BD2" s="15" t="s">
        <v>934</v>
      </c>
      <c r="BE2" s="15" t="s">
        <v>935</v>
      </c>
      <c r="BF2" s="15" t="s">
        <v>936</v>
      </c>
      <c r="BG2" s="15" t="s">
        <v>937</v>
      </c>
      <c r="BH2" s="15" t="s">
        <v>938</v>
      </c>
      <c r="BI2" s="15" t="s">
        <v>939</v>
      </c>
      <c r="BJ2" s="15" t="s">
        <v>940</v>
      </c>
      <c r="BK2" s="15" t="s">
        <v>941</v>
      </c>
      <c r="BL2" s="15" t="s">
        <v>942</v>
      </c>
      <c r="BM2" s="15" t="s">
        <v>943</v>
      </c>
    </row>
    <row r="3" spans="1:65" x14ac:dyDescent="0.25">
      <c r="A3" t="s">
        <v>714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</row>
    <row r="4" spans="1:65" x14ac:dyDescent="0.25">
      <c r="A4" t="s">
        <v>715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</row>
    <row r="5" spans="1:65" x14ac:dyDescent="0.25">
      <c r="A5" t="s">
        <v>716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65" x14ac:dyDescent="0.25">
      <c r="A6" t="s">
        <v>717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 x14ac:dyDescent="0.25">
      <c r="A7" t="s">
        <v>718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 x14ac:dyDescent="0.25">
      <c r="A8" t="s">
        <v>719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</row>
    <row r="9" spans="1:65" x14ac:dyDescent="0.25">
      <c r="A9" t="s">
        <v>720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25">
      <c r="A10" t="s">
        <v>721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0</v>
      </c>
    </row>
    <row r="11" spans="1:65" x14ac:dyDescent="0.25">
      <c r="A11" t="s">
        <v>722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25">
      <c r="A12" t="s">
        <v>723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 x14ac:dyDescent="0.25">
      <c r="A13" t="s">
        <v>724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</row>
    <row r="14" spans="1:65" x14ac:dyDescent="0.25">
      <c r="A14" t="s">
        <v>725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</row>
    <row r="15" spans="1:65" x14ac:dyDescent="0.25">
      <c r="A15" t="s">
        <v>726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</row>
    <row r="16" spans="1:65" x14ac:dyDescent="0.25">
      <c r="A16" t="s">
        <v>727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8" spans="1:65" x14ac:dyDescent="0.25">
      <c r="A18" s="1" t="s">
        <v>834</v>
      </c>
      <c r="B18">
        <f>SUM(B3:B16)</f>
        <v>0</v>
      </c>
      <c r="C18">
        <f t="shared" ref="C18:BM18" si="0">SUM(C3:C16)</f>
        <v>0</v>
      </c>
      <c r="D18">
        <f t="shared" si="0"/>
        <v>0</v>
      </c>
      <c r="E18">
        <f t="shared" si="0"/>
        <v>0</v>
      </c>
      <c r="F18">
        <f t="shared" si="0"/>
        <v>0</v>
      </c>
      <c r="G18">
        <f t="shared" si="0"/>
        <v>0</v>
      </c>
      <c r="H18">
        <f t="shared" si="0"/>
        <v>0</v>
      </c>
      <c r="I18">
        <f t="shared" si="0"/>
        <v>3</v>
      </c>
      <c r="J18">
        <f t="shared" si="0"/>
        <v>0</v>
      </c>
      <c r="K18">
        <f t="shared" si="0"/>
        <v>0</v>
      </c>
      <c r="L18">
        <f t="shared" si="0"/>
        <v>0</v>
      </c>
      <c r="M18">
        <f t="shared" si="0"/>
        <v>0</v>
      </c>
      <c r="N18">
        <f t="shared" si="0"/>
        <v>0</v>
      </c>
      <c r="O18">
        <f t="shared" si="0"/>
        <v>0</v>
      </c>
      <c r="P18">
        <f t="shared" si="0"/>
        <v>0</v>
      </c>
      <c r="Q18">
        <f t="shared" si="0"/>
        <v>0</v>
      </c>
      <c r="R18">
        <f t="shared" si="0"/>
        <v>0</v>
      </c>
      <c r="S18">
        <f t="shared" si="0"/>
        <v>0</v>
      </c>
      <c r="T18">
        <f t="shared" si="0"/>
        <v>0</v>
      </c>
      <c r="U18">
        <f t="shared" si="0"/>
        <v>0</v>
      </c>
      <c r="V18">
        <f t="shared" si="0"/>
        <v>0</v>
      </c>
      <c r="W18">
        <f t="shared" si="0"/>
        <v>0</v>
      </c>
      <c r="X18">
        <f t="shared" si="0"/>
        <v>0</v>
      </c>
      <c r="Y18">
        <f t="shared" si="0"/>
        <v>0</v>
      </c>
      <c r="Z18">
        <f t="shared" si="0"/>
        <v>0</v>
      </c>
      <c r="AA18">
        <f t="shared" si="0"/>
        <v>0</v>
      </c>
      <c r="AB18">
        <f t="shared" si="0"/>
        <v>0</v>
      </c>
      <c r="AC18">
        <f t="shared" si="0"/>
        <v>0</v>
      </c>
      <c r="AD18">
        <f t="shared" si="0"/>
        <v>0</v>
      </c>
      <c r="AE18">
        <f t="shared" si="0"/>
        <v>1</v>
      </c>
      <c r="AF18">
        <f t="shared" si="0"/>
        <v>0</v>
      </c>
      <c r="AG18">
        <f t="shared" si="0"/>
        <v>0</v>
      </c>
      <c r="AH18">
        <f t="shared" si="0"/>
        <v>0</v>
      </c>
      <c r="AI18">
        <f t="shared" si="0"/>
        <v>0</v>
      </c>
      <c r="AJ18">
        <f t="shared" si="0"/>
        <v>0</v>
      </c>
      <c r="AK18">
        <f t="shared" si="0"/>
        <v>1</v>
      </c>
      <c r="AL18">
        <f t="shared" si="0"/>
        <v>0</v>
      </c>
      <c r="AM18">
        <f t="shared" si="0"/>
        <v>0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5</v>
      </c>
      <c r="AS18">
        <f t="shared" si="0"/>
        <v>0</v>
      </c>
      <c r="AT18">
        <f t="shared" si="0"/>
        <v>0</v>
      </c>
      <c r="AU18">
        <f t="shared" si="0"/>
        <v>0</v>
      </c>
      <c r="AV18">
        <f t="shared" si="0"/>
        <v>0</v>
      </c>
      <c r="AW18">
        <f t="shared" si="0"/>
        <v>0</v>
      </c>
      <c r="AX18">
        <f t="shared" si="0"/>
        <v>0</v>
      </c>
      <c r="AY18">
        <f t="shared" si="0"/>
        <v>1</v>
      </c>
      <c r="AZ18">
        <f t="shared" si="0"/>
        <v>0</v>
      </c>
      <c r="BA18">
        <f t="shared" si="0"/>
        <v>0</v>
      </c>
      <c r="BB18">
        <f t="shared" si="0"/>
        <v>0</v>
      </c>
      <c r="BC18">
        <f t="shared" si="0"/>
        <v>0</v>
      </c>
      <c r="BD18">
        <f t="shared" si="0"/>
        <v>1</v>
      </c>
      <c r="BE18">
        <f t="shared" si="0"/>
        <v>0</v>
      </c>
      <c r="BF18">
        <f t="shared" si="0"/>
        <v>0</v>
      </c>
      <c r="BG18">
        <f t="shared" si="0"/>
        <v>0</v>
      </c>
      <c r="BH18">
        <f t="shared" si="0"/>
        <v>0</v>
      </c>
      <c r="BI18">
        <f t="shared" si="0"/>
        <v>0</v>
      </c>
      <c r="BJ18">
        <f t="shared" si="0"/>
        <v>0</v>
      </c>
      <c r="BK18">
        <f t="shared" si="0"/>
        <v>1</v>
      </c>
      <c r="BL18">
        <f t="shared" si="0"/>
        <v>0</v>
      </c>
      <c r="BM18">
        <f t="shared" si="0"/>
        <v>0</v>
      </c>
    </row>
    <row r="19" spans="1:65" x14ac:dyDescent="0.25">
      <c r="A19" s="1" t="s">
        <v>850</v>
      </c>
    </row>
    <row r="20" spans="1:65" x14ac:dyDescent="0.25">
      <c r="A20" s="1" t="s">
        <v>863</v>
      </c>
    </row>
    <row r="21" spans="1:65" x14ac:dyDescent="0.25">
      <c r="A21" s="1"/>
    </row>
    <row r="22" spans="1:65" s="13" customFormat="1" x14ac:dyDescent="0.25">
      <c r="A22" s="12" t="s">
        <v>693</v>
      </c>
    </row>
    <row r="23" spans="1:65" s="15" customFormat="1" x14ac:dyDescent="0.25">
      <c r="A23" s="15" t="s">
        <v>0</v>
      </c>
      <c r="B23" s="15" t="s">
        <v>880</v>
      </c>
      <c r="C23" s="15" t="s">
        <v>881</v>
      </c>
      <c r="D23" s="15" t="s">
        <v>882</v>
      </c>
      <c r="E23" s="15" t="s">
        <v>883</v>
      </c>
      <c r="F23" s="15" t="s">
        <v>884</v>
      </c>
      <c r="G23" s="15" t="s">
        <v>885</v>
      </c>
      <c r="H23" s="15" t="s">
        <v>886</v>
      </c>
      <c r="I23" s="15" t="s">
        <v>893</v>
      </c>
      <c r="J23" s="15" t="s">
        <v>887</v>
      </c>
      <c r="K23" s="15" t="s">
        <v>888</v>
      </c>
      <c r="L23" s="15" t="s">
        <v>889</v>
      </c>
      <c r="M23" s="15" t="s">
        <v>890</v>
      </c>
      <c r="N23" s="15" t="s">
        <v>891</v>
      </c>
      <c r="O23" s="15" t="s">
        <v>892</v>
      </c>
      <c r="P23" s="15" t="s">
        <v>894</v>
      </c>
      <c r="Q23" s="15" t="s">
        <v>895</v>
      </c>
      <c r="R23" s="15" t="s">
        <v>896</v>
      </c>
      <c r="S23" s="15" t="s">
        <v>897</v>
      </c>
      <c r="T23" s="15" t="s">
        <v>898</v>
      </c>
      <c r="U23" s="15" t="s">
        <v>899</v>
      </c>
      <c r="V23" s="15" t="s">
        <v>900</v>
      </c>
      <c r="W23" s="15" t="s">
        <v>901</v>
      </c>
      <c r="X23" s="15" t="s">
        <v>902</v>
      </c>
      <c r="Y23" s="15" t="s">
        <v>903</v>
      </c>
      <c r="Z23" s="15" t="s">
        <v>904</v>
      </c>
      <c r="AA23" s="15" t="s">
        <v>905</v>
      </c>
      <c r="AB23" s="15" t="s">
        <v>906</v>
      </c>
      <c r="AC23" s="15" t="s">
        <v>907</v>
      </c>
      <c r="AD23" s="15" t="s">
        <v>908</v>
      </c>
      <c r="AE23" s="15" t="s">
        <v>909</v>
      </c>
      <c r="AF23" s="15" t="s">
        <v>910</v>
      </c>
      <c r="AG23" s="15" t="s">
        <v>911</v>
      </c>
      <c r="AH23" s="15" t="s">
        <v>912</v>
      </c>
      <c r="AI23" s="15" t="s">
        <v>913</v>
      </c>
      <c r="AJ23" s="15" t="s">
        <v>914</v>
      </c>
      <c r="AK23" s="15" t="s">
        <v>915</v>
      </c>
      <c r="AL23" s="15" t="s">
        <v>916</v>
      </c>
      <c r="AM23" s="15" t="s">
        <v>917</v>
      </c>
      <c r="AN23" s="15" t="s">
        <v>918</v>
      </c>
      <c r="AO23" s="15" t="s">
        <v>919</v>
      </c>
      <c r="AP23" s="15" t="s">
        <v>920</v>
      </c>
      <c r="AQ23" s="15" t="s">
        <v>921</v>
      </c>
      <c r="AR23" s="15" t="s">
        <v>922</v>
      </c>
      <c r="AS23" s="15" t="s">
        <v>923</v>
      </c>
      <c r="AT23" s="15" t="s">
        <v>924</v>
      </c>
      <c r="AU23" s="15" t="s">
        <v>925</v>
      </c>
      <c r="AV23" s="15" t="s">
        <v>926</v>
      </c>
      <c r="AW23" s="15" t="s">
        <v>927</v>
      </c>
      <c r="AX23" s="15" t="s">
        <v>928</v>
      </c>
      <c r="AY23" s="15" t="s">
        <v>929</v>
      </c>
      <c r="AZ23" s="15" t="s">
        <v>930</v>
      </c>
      <c r="BA23" s="15" t="s">
        <v>931</v>
      </c>
      <c r="BB23" s="15" t="s">
        <v>932</v>
      </c>
      <c r="BC23" s="15" t="s">
        <v>933</v>
      </c>
      <c r="BD23" s="15" t="s">
        <v>934</v>
      </c>
      <c r="BE23" s="15" t="s">
        <v>935</v>
      </c>
      <c r="BF23" s="15" t="s">
        <v>936</v>
      </c>
      <c r="BG23" s="15" t="s">
        <v>937</v>
      </c>
      <c r="BH23" s="15" t="s">
        <v>938</v>
      </c>
      <c r="BI23" s="15" t="s">
        <v>939</v>
      </c>
      <c r="BJ23" s="15" t="s">
        <v>940</v>
      </c>
      <c r="BK23" s="15" t="s">
        <v>941</v>
      </c>
      <c r="BL23" s="15" t="s">
        <v>942</v>
      </c>
      <c r="BM23" s="15" t="s">
        <v>943</v>
      </c>
    </row>
    <row r="24" spans="1:65" x14ac:dyDescent="0.25">
      <c r="A24" t="s">
        <v>728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</row>
    <row r="25" spans="1:65" x14ac:dyDescent="0.25">
      <c r="A25" t="s">
        <v>729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</row>
    <row r="26" spans="1:65" x14ac:dyDescent="0.25">
      <c r="A26" t="s">
        <v>730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 x14ac:dyDescent="0.25">
      <c r="A27" t="s">
        <v>731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0</v>
      </c>
    </row>
    <row r="28" spans="1:65" x14ac:dyDescent="0.25">
      <c r="A28" t="s">
        <v>732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 x14ac:dyDescent="0.25">
      <c r="A29" t="s">
        <v>733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 x14ac:dyDescent="0.25">
      <c r="A30" t="s">
        <v>734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</row>
    <row r="31" spans="1:65" x14ac:dyDescent="0.25">
      <c r="A31" t="s">
        <v>735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</row>
    <row r="32" spans="1:65" x14ac:dyDescent="0.25">
      <c r="A32" t="s">
        <v>736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</row>
    <row r="33" spans="1:65" x14ac:dyDescent="0.25">
      <c r="A33" t="s">
        <v>737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 x14ac:dyDescent="0.25">
      <c r="A34" t="s">
        <v>738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</row>
    <row r="35" spans="1:65" x14ac:dyDescent="0.25">
      <c r="A35" t="s">
        <v>739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</row>
    <row r="36" spans="1:65" x14ac:dyDescent="0.25">
      <c r="A36" t="s">
        <v>740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</row>
    <row r="37" spans="1:65" x14ac:dyDescent="0.25">
      <c r="A37" t="s">
        <v>741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</row>
    <row r="38" spans="1:65" x14ac:dyDescent="0.25">
      <c r="A38" t="s">
        <v>742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</row>
    <row r="39" spans="1:65" x14ac:dyDescent="0.25">
      <c r="A39" t="s">
        <v>743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</row>
    <row r="40" spans="1:65" x14ac:dyDescent="0.25">
      <c r="A40" t="s">
        <v>860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</row>
    <row r="41" spans="1:65" x14ac:dyDescent="0.25">
      <c r="A41" t="s">
        <v>744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</row>
    <row r="42" spans="1:65" x14ac:dyDescent="0.25">
      <c r="A42" t="s">
        <v>745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</row>
    <row r="43" spans="1:65" x14ac:dyDescent="0.25">
      <c r="A43" t="s">
        <v>746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</row>
    <row r="44" spans="1:65" x14ac:dyDescent="0.25">
      <c r="A44" t="s">
        <v>747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</row>
    <row r="45" spans="1:65" x14ac:dyDescent="0.25">
      <c r="A45" t="s">
        <v>748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</row>
    <row r="46" spans="1:65" x14ac:dyDescent="0.25">
      <c r="A46" t="s">
        <v>749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</row>
    <row r="47" spans="1:65" x14ac:dyDescent="0.25">
      <c r="A47" t="s">
        <v>750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</row>
    <row r="48" spans="1:65" x14ac:dyDescent="0.25">
      <c r="A48" t="s">
        <v>751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</row>
    <row r="49" spans="1:65" x14ac:dyDescent="0.25">
      <c r="A49" t="s">
        <v>752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</row>
    <row r="50" spans="1:65" x14ac:dyDescent="0.25">
      <c r="A50" t="s">
        <v>753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</row>
    <row r="51" spans="1:65" x14ac:dyDescent="0.25">
      <c r="A51" t="s">
        <v>754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</row>
    <row r="52" spans="1:65" x14ac:dyDescent="0.25">
      <c r="A52" t="s">
        <v>755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</row>
    <row r="53" spans="1:65" x14ac:dyDescent="0.25">
      <c r="A53" t="s">
        <v>756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</row>
    <row r="54" spans="1:65" x14ac:dyDescent="0.25">
      <c r="A54" t="s">
        <v>757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</row>
    <row r="56" spans="1:65" x14ac:dyDescent="0.25">
      <c r="A56" s="1" t="s">
        <v>834</v>
      </c>
      <c r="B56">
        <f>SUM(B24:B54)</f>
        <v>0</v>
      </c>
      <c r="C56">
        <f t="shared" ref="C56:BM56" si="1">SUM(C24:C54)</f>
        <v>0</v>
      </c>
      <c r="D56">
        <f t="shared" si="1"/>
        <v>0</v>
      </c>
      <c r="E56">
        <f t="shared" si="1"/>
        <v>0</v>
      </c>
      <c r="F56">
        <f t="shared" si="1"/>
        <v>0</v>
      </c>
      <c r="G56">
        <f t="shared" si="1"/>
        <v>0</v>
      </c>
      <c r="H56">
        <f t="shared" si="1"/>
        <v>0</v>
      </c>
      <c r="I56">
        <f t="shared" si="1"/>
        <v>0</v>
      </c>
      <c r="J56">
        <f t="shared" si="1"/>
        <v>0</v>
      </c>
      <c r="K56">
        <f t="shared" si="1"/>
        <v>0</v>
      </c>
      <c r="L56">
        <f t="shared" si="1"/>
        <v>1</v>
      </c>
      <c r="M56">
        <f t="shared" si="1"/>
        <v>0</v>
      </c>
      <c r="N56">
        <f t="shared" si="1"/>
        <v>0</v>
      </c>
      <c r="O56">
        <f t="shared" si="1"/>
        <v>0</v>
      </c>
      <c r="P56">
        <f t="shared" si="1"/>
        <v>0</v>
      </c>
      <c r="Q56">
        <f t="shared" si="1"/>
        <v>0</v>
      </c>
      <c r="R56">
        <f t="shared" si="1"/>
        <v>0</v>
      </c>
      <c r="S56">
        <f t="shared" si="1"/>
        <v>0</v>
      </c>
      <c r="T56">
        <f t="shared" si="1"/>
        <v>0</v>
      </c>
      <c r="U56">
        <f t="shared" si="1"/>
        <v>0</v>
      </c>
      <c r="V56">
        <f t="shared" si="1"/>
        <v>0</v>
      </c>
      <c r="W56">
        <f t="shared" si="1"/>
        <v>0</v>
      </c>
      <c r="X56">
        <f t="shared" si="1"/>
        <v>0</v>
      </c>
      <c r="Y56">
        <f t="shared" si="1"/>
        <v>0</v>
      </c>
      <c r="Z56">
        <f t="shared" si="1"/>
        <v>0</v>
      </c>
      <c r="AA56">
        <f t="shared" si="1"/>
        <v>0</v>
      </c>
      <c r="AB56">
        <f t="shared" si="1"/>
        <v>0</v>
      </c>
      <c r="AC56">
        <f t="shared" si="1"/>
        <v>0</v>
      </c>
      <c r="AD56">
        <f t="shared" si="1"/>
        <v>0</v>
      </c>
      <c r="AE56">
        <f t="shared" si="1"/>
        <v>1</v>
      </c>
      <c r="AF56">
        <f t="shared" si="1"/>
        <v>0</v>
      </c>
      <c r="AG56">
        <f t="shared" si="1"/>
        <v>0</v>
      </c>
      <c r="AH56">
        <f t="shared" si="1"/>
        <v>0</v>
      </c>
      <c r="AI56">
        <f t="shared" si="1"/>
        <v>0</v>
      </c>
      <c r="AJ56">
        <f t="shared" si="1"/>
        <v>0</v>
      </c>
      <c r="AK56">
        <f t="shared" si="1"/>
        <v>2</v>
      </c>
      <c r="AL56">
        <f t="shared" si="1"/>
        <v>0</v>
      </c>
      <c r="AM56">
        <f t="shared" si="1"/>
        <v>0</v>
      </c>
      <c r="AN56">
        <f t="shared" si="1"/>
        <v>0</v>
      </c>
      <c r="AO56">
        <f t="shared" si="1"/>
        <v>0</v>
      </c>
      <c r="AP56">
        <f t="shared" si="1"/>
        <v>0</v>
      </c>
      <c r="AQ56">
        <f t="shared" si="1"/>
        <v>0</v>
      </c>
      <c r="AR56">
        <f t="shared" si="1"/>
        <v>3</v>
      </c>
      <c r="AS56">
        <f t="shared" si="1"/>
        <v>0</v>
      </c>
      <c r="AT56">
        <f t="shared" si="1"/>
        <v>0</v>
      </c>
      <c r="AU56">
        <f t="shared" si="1"/>
        <v>0</v>
      </c>
      <c r="AV56">
        <f t="shared" si="1"/>
        <v>0</v>
      </c>
      <c r="AW56">
        <f t="shared" si="1"/>
        <v>0</v>
      </c>
      <c r="AX56">
        <f t="shared" si="1"/>
        <v>0</v>
      </c>
      <c r="AY56">
        <f t="shared" si="1"/>
        <v>0</v>
      </c>
      <c r="AZ56">
        <f t="shared" si="1"/>
        <v>0</v>
      </c>
      <c r="BA56">
        <f t="shared" si="1"/>
        <v>0</v>
      </c>
      <c r="BB56">
        <f t="shared" si="1"/>
        <v>0</v>
      </c>
      <c r="BC56">
        <f t="shared" si="1"/>
        <v>0</v>
      </c>
      <c r="BD56">
        <f t="shared" si="1"/>
        <v>0</v>
      </c>
      <c r="BE56">
        <f t="shared" si="1"/>
        <v>0</v>
      </c>
      <c r="BF56">
        <f t="shared" si="1"/>
        <v>0</v>
      </c>
      <c r="BG56">
        <f t="shared" si="1"/>
        <v>0</v>
      </c>
      <c r="BH56">
        <f t="shared" si="1"/>
        <v>0</v>
      </c>
      <c r="BI56">
        <f t="shared" si="1"/>
        <v>0</v>
      </c>
      <c r="BJ56">
        <f t="shared" si="1"/>
        <v>0</v>
      </c>
      <c r="BK56">
        <f t="shared" si="1"/>
        <v>1</v>
      </c>
      <c r="BL56">
        <f t="shared" si="1"/>
        <v>0</v>
      </c>
      <c r="BM56">
        <f t="shared" si="1"/>
        <v>0</v>
      </c>
    </row>
    <row r="57" spans="1:65" x14ac:dyDescent="0.25">
      <c r="A57" s="1" t="s">
        <v>850</v>
      </c>
    </row>
    <row r="58" spans="1:65" x14ac:dyDescent="0.25">
      <c r="A58" s="1" t="s">
        <v>863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4" sqref="A4"/>
      <selection pane="bottomRight" activeCell="CG43" sqref="CG43"/>
    </sheetView>
  </sheetViews>
  <sheetFormatPr defaultRowHeight="15" x14ac:dyDescent="0.25"/>
  <cols>
    <col min="1" max="1" width="23.5703125" bestFit="1" customWidth="1"/>
    <col min="2" max="51" width="11.28515625" style="4" customWidth="1"/>
    <col min="52" max="54" width="11.140625" style="4" customWidth="1"/>
    <col min="55" max="81" width="11.28515625" style="4" customWidth="1"/>
    <col min="82" max="145" width="11.28515625" customWidth="1"/>
    <col min="146" max="229" width="11.28515625" bestFit="1" customWidth="1"/>
  </cols>
  <sheetData>
    <row r="1" spans="1:225" s="13" customFormat="1" x14ac:dyDescent="0.25">
      <c r="A1" s="12" t="s">
        <v>686</v>
      </c>
      <c r="B1" s="18"/>
      <c r="C1" s="18"/>
      <c r="D1" s="18"/>
      <c r="E1" s="18"/>
      <c r="F1" s="18"/>
      <c r="G1" s="18"/>
      <c r="H1" s="19"/>
      <c r="I1" s="19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</row>
    <row r="2" spans="1:225" s="15" customFormat="1" x14ac:dyDescent="0.25">
      <c r="A2" s="15" t="s">
        <v>0</v>
      </c>
    </row>
    <row r="3" spans="1:225" x14ac:dyDescent="0.25">
      <c r="A3" t="s">
        <v>838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</row>
    <row r="4" spans="1:225" x14ac:dyDescent="0.25">
      <c r="A4" t="s">
        <v>839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</row>
    <row r="5" spans="1:225" x14ac:dyDescent="0.25">
      <c r="A5" t="s">
        <v>840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</row>
    <row r="6" spans="1:225" x14ac:dyDescent="0.25">
      <c r="A6" t="s">
        <v>841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</row>
    <row r="7" spans="1:225" x14ac:dyDescent="0.25">
      <c r="A7" t="s">
        <v>842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</row>
    <row r="8" spans="1:225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</row>
    <row r="9" spans="1:225" x14ac:dyDescent="0.25">
      <c r="A9" t="s">
        <v>843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</row>
    <row r="10" spans="1:225" x14ac:dyDescent="0.25">
      <c r="A10" t="s">
        <v>844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</row>
    <row r="11" spans="1:225" x14ac:dyDescent="0.25">
      <c r="A11" t="s">
        <v>845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</row>
    <row r="12" spans="1:225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</row>
    <row r="13" spans="1:225" x14ac:dyDescent="0.25">
      <c r="A13" t="s">
        <v>834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</row>
    <row r="14" spans="1:225" x14ac:dyDescent="0.25">
      <c r="A14" s="3" t="s">
        <v>837</v>
      </c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GM14" s="4"/>
      <c r="GN14" s="4"/>
      <c r="GP14" s="4"/>
      <c r="GQ14" s="4"/>
      <c r="GS14" s="4"/>
      <c r="GT14" s="4"/>
      <c r="HB14" s="4"/>
      <c r="HC14" s="4"/>
      <c r="HE14" s="4"/>
      <c r="HQ14" s="4"/>
    </row>
    <row r="15" spans="1:225" x14ac:dyDescent="0.25"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</row>
    <row r="16" spans="1:225" s="13" customFormat="1" x14ac:dyDescent="0.25">
      <c r="A16" s="12" t="s">
        <v>687</v>
      </c>
      <c r="B16" s="18"/>
      <c r="C16" s="18"/>
      <c r="D16" s="18"/>
      <c r="E16" s="18"/>
      <c r="F16" s="18"/>
      <c r="G16" s="18"/>
      <c r="H16" s="19"/>
      <c r="I16" s="19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</row>
    <row r="17" spans="1:81" s="15" customFormat="1" x14ac:dyDescent="0.25">
      <c r="A17" s="15" t="s">
        <v>0</v>
      </c>
    </row>
    <row r="18" spans="1:81" x14ac:dyDescent="0.25">
      <c r="A18" t="s">
        <v>846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</row>
    <row r="19" spans="1:81" x14ac:dyDescent="0.25">
      <c r="A19" t="s">
        <v>847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</row>
    <row r="20" spans="1:81" x14ac:dyDescent="0.25">
      <c r="A20" t="s">
        <v>848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</row>
    <row r="21" spans="1:81" x14ac:dyDescent="0.25">
      <c r="A21" t="s">
        <v>849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</row>
    <row r="22" spans="1:8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</row>
    <row r="23" spans="1:81" x14ac:dyDescent="0.25">
      <c r="A23" s="3" t="s">
        <v>843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</row>
    <row r="24" spans="1:81" x14ac:dyDescent="0.25">
      <c r="A24" s="3" t="s">
        <v>844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</row>
    <row r="25" spans="1:81" x14ac:dyDescent="0.25">
      <c r="A25" s="3" t="s">
        <v>845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x14ac:dyDescent="0.25">
      <c r="A26" s="3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x14ac:dyDescent="0.25">
      <c r="A27" s="3" t="s">
        <v>834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x14ac:dyDescent="0.25">
      <c r="A28" s="3" t="s">
        <v>863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V64"/>
  <sheetViews>
    <sheetView zoomScale="80" zoomScaleNormal="80" workbookViewId="0">
      <pane xSplit="1" topLeftCell="B1" activePane="topRight" state="frozen"/>
      <selection pane="topRight" activeCell="E17" sqref="E17"/>
    </sheetView>
  </sheetViews>
  <sheetFormatPr defaultRowHeight="15" x14ac:dyDescent="0.25"/>
  <cols>
    <col min="1" max="1" width="12.42578125" customWidth="1"/>
    <col min="2" max="80" width="11.28515625" customWidth="1"/>
    <col min="81" max="83" width="17.5703125" customWidth="1"/>
    <col min="84" max="89" width="11.28515625" customWidth="1"/>
    <col min="90" max="92" width="14.5703125" customWidth="1"/>
    <col min="93" max="122" width="11.28515625" customWidth="1"/>
    <col min="123" max="123" width="10.85546875" customWidth="1"/>
    <col min="124" max="148" width="11.28515625" customWidth="1"/>
    <col min="149" max="203" width="11.28515625" bestFit="1" customWidth="1"/>
  </cols>
  <sheetData>
    <row r="1" spans="1:230" s="13" customFormat="1" x14ac:dyDescent="0.25">
      <c r="A1" s="12" t="s">
        <v>758</v>
      </c>
    </row>
    <row r="2" spans="1:230" s="17" customFormat="1" x14ac:dyDescent="0.25">
      <c r="A2" s="14"/>
      <c r="B2" s="14"/>
      <c r="C2" s="14"/>
      <c r="D2" s="14"/>
      <c r="H2" s="20"/>
      <c r="I2" s="20"/>
      <c r="J2" s="20"/>
      <c r="K2" s="20"/>
      <c r="L2" s="20"/>
      <c r="M2" s="20"/>
      <c r="N2" s="20"/>
      <c r="O2" s="20"/>
      <c r="P2" s="20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</row>
    <row r="3" spans="1:230" s="15" customFormat="1" x14ac:dyDescent="0.25">
      <c r="A3" s="15" t="s">
        <v>0</v>
      </c>
      <c r="B3" s="15" t="s">
        <v>875</v>
      </c>
      <c r="E3" s="15" t="s">
        <v>866</v>
      </c>
      <c r="H3" s="15" t="s">
        <v>867</v>
      </c>
      <c r="K3" s="15" t="s">
        <v>868</v>
      </c>
      <c r="N3" s="15" t="s">
        <v>869</v>
      </c>
      <c r="Q3" s="15" t="s">
        <v>870</v>
      </c>
      <c r="T3" s="15" t="s">
        <v>871</v>
      </c>
      <c r="W3" s="15" t="s">
        <v>872</v>
      </c>
      <c r="Z3" s="15" t="s">
        <v>873</v>
      </c>
      <c r="AC3" s="15" t="s">
        <v>874</v>
      </c>
    </row>
    <row r="4" spans="1:230" x14ac:dyDescent="0.25">
      <c r="B4" s="4"/>
      <c r="C4" s="4"/>
      <c r="D4" s="4"/>
    </row>
    <row r="5" spans="1:230" x14ac:dyDescent="0.25">
      <c r="A5" s="3" t="s">
        <v>843</v>
      </c>
      <c r="B5" s="4"/>
      <c r="C5" s="4"/>
      <c r="D5" s="4"/>
      <c r="E5">
        <v>0</v>
      </c>
      <c r="F5" s="4"/>
    </row>
    <row r="6" spans="1:230" x14ac:dyDescent="0.25">
      <c r="A6" s="3" t="s">
        <v>844</v>
      </c>
      <c r="B6" s="4"/>
      <c r="C6" s="4"/>
      <c r="D6" s="4"/>
      <c r="E6">
        <v>0</v>
      </c>
      <c r="F6" s="4"/>
    </row>
    <row r="7" spans="1:230" x14ac:dyDescent="0.25">
      <c r="A7" s="3" t="s">
        <v>845</v>
      </c>
      <c r="B7" s="4"/>
      <c r="C7" s="4"/>
      <c r="D7" s="4"/>
      <c r="E7">
        <v>1</v>
      </c>
      <c r="F7" s="4"/>
    </row>
    <row r="8" spans="1:230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11"/>
      <c r="FM8" s="11"/>
      <c r="FN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</row>
    <row r="9" spans="1:230" ht="16.5" customHeight="1" x14ac:dyDescent="0.25">
      <c r="A9" s="3" t="s">
        <v>834</v>
      </c>
      <c r="B9" s="4">
        <f>SUM(B5:B7)</f>
        <v>0</v>
      </c>
      <c r="C9" s="4">
        <f t="shared" ref="C9:AG9" si="0">SUM(C5:C7)</f>
        <v>0</v>
      </c>
      <c r="D9" s="4">
        <f t="shared" si="0"/>
        <v>0</v>
      </c>
      <c r="E9" s="4">
        <f t="shared" si="0"/>
        <v>1</v>
      </c>
      <c r="F9" s="4">
        <f t="shared" si="0"/>
        <v>0</v>
      </c>
      <c r="G9" s="4">
        <f t="shared" si="0"/>
        <v>0</v>
      </c>
      <c r="H9" s="4">
        <f t="shared" si="0"/>
        <v>0</v>
      </c>
      <c r="I9" s="4">
        <f t="shared" si="0"/>
        <v>0</v>
      </c>
      <c r="J9" s="4">
        <f t="shared" si="0"/>
        <v>0</v>
      </c>
      <c r="K9" s="4">
        <f t="shared" si="0"/>
        <v>0</v>
      </c>
      <c r="L9" s="4">
        <f t="shared" si="0"/>
        <v>0</v>
      </c>
      <c r="M9" s="4">
        <f t="shared" si="0"/>
        <v>0</v>
      </c>
      <c r="N9" s="4">
        <f t="shared" si="0"/>
        <v>0</v>
      </c>
      <c r="O9" s="4">
        <f t="shared" si="0"/>
        <v>0</v>
      </c>
      <c r="P9" s="4">
        <f t="shared" si="0"/>
        <v>0</v>
      </c>
      <c r="Q9" s="4">
        <f t="shared" si="0"/>
        <v>0</v>
      </c>
      <c r="R9" s="4">
        <f t="shared" si="0"/>
        <v>0</v>
      </c>
      <c r="S9" s="4">
        <f t="shared" si="0"/>
        <v>0</v>
      </c>
      <c r="T9" s="4">
        <f t="shared" si="0"/>
        <v>0</v>
      </c>
      <c r="U9" s="4">
        <f t="shared" si="0"/>
        <v>0</v>
      </c>
      <c r="V9" s="4">
        <f t="shared" si="0"/>
        <v>0</v>
      </c>
      <c r="W9" s="4">
        <f t="shared" si="0"/>
        <v>0</v>
      </c>
      <c r="X9" s="4">
        <f t="shared" si="0"/>
        <v>0</v>
      </c>
      <c r="Y9" s="4">
        <f t="shared" si="0"/>
        <v>0</v>
      </c>
      <c r="Z9" s="4">
        <f t="shared" si="0"/>
        <v>0</v>
      </c>
      <c r="AA9" s="4">
        <f t="shared" si="0"/>
        <v>0</v>
      </c>
      <c r="AB9" s="4">
        <f t="shared" si="0"/>
        <v>0</v>
      </c>
      <c r="AC9" s="4">
        <f t="shared" si="0"/>
        <v>0</v>
      </c>
      <c r="AD9" s="4">
        <f t="shared" si="0"/>
        <v>0</v>
      </c>
      <c r="AE9" s="4">
        <f t="shared" si="0"/>
        <v>0</v>
      </c>
      <c r="AF9" s="4">
        <f t="shared" si="0"/>
        <v>0</v>
      </c>
      <c r="AG9" s="4">
        <f t="shared" si="0"/>
        <v>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11"/>
      <c r="FM9" s="11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</row>
    <row r="10" spans="1:230" x14ac:dyDescent="0.25">
      <c r="A10" s="3" t="s">
        <v>863</v>
      </c>
      <c r="B10" s="4"/>
      <c r="C10" s="4"/>
      <c r="D10" s="4"/>
      <c r="E10" s="4" t="s">
        <v>865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</row>
    <row r="11" spans="1:230" s="13" customFormat="1" x14ac:dyDescent="0.25">
      <c r="A11" s="12" t="s">
        <v>759</v>
      </c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  <c r="HS11" s="18"/>
      <c r="HT11" s="18"/>
    </row>
    <row r="12" spans="1:230" s="15" customFormat="1" x14ac:dyDescent="0.25">
      <c r="A12" s="15" t="s">
        <v>0</v>
      </c>
      <c r="B12" s="15" t="s">
        <v>875</v>
      </c>
      <c r="E12" s="15" t="s">
        <v>866</v>
      </c>
      <c r="H12" s="15" t="s">
        <v>867</v>
      </c>
      <c r="K12" s="15" t="s">
        <v>868</v>
      </c>
      <c r="N12" s="15" t="s">
        <v>869</v>
      </c>
      <c r="Q12" s="15" t="s">
        <v>870</v>
      </c>
      <c r="T12" s="15" t="s">
        <v>871</v>
      </c>
      <c r="W12" s="15" t="s">
        <v>872</v>
      </c>
      <c r="Z12" s="15" t="s">
        <v>873</v>
      </c>
      <c r="AC12" s="15" t="s">
        <v>874</v>
      </c>
    </row>
    <row r="13" spans="1:230" x14ac:dyDescent="0.25">
      <c r="A13" s="5" t="s">
        <v>851</v>
      </c>
      <c r="B13" s="28"/>
      <c r="C13" s="28"/>
      <c r="D13" s="28"/>
      <c r="E13" s="28" t="s">
        <v>876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DD13" s="5"/>
      <c r="DE13" s="5"/>
      <c r="DF13" s="5"/>
      <c r="FO13" s="9"/>
      <c r="FP13" s="9"/>
      <c r="FU13" s="9"/>
      <c r="FV13" s="9"/>
      <c r="GA13" s="9"/>
      <c r="GB13" s="9"/>
      <c r="GD13" s="9"/>
      <c r="GE13" s="9"/>
      <c r="GG13" s="9"/>
      <c r="GH13" s="9"/>
      <c r="GP13" s="9"/>
      <c r="GS13" s="9"/>
      <c r="GT13" s="9"/>
      <c r="GV13" s="9"/>
      <c r="HB13" s="9"/>
      <c r="HE13" s="9"/>
      <c r="HF13" s="9"/>
      <c r="HH13" s="9"/>
      <c r="HN13" s="9"/>
      <c r="HT13" s="9"/>
    </row>
    <row r="14" spans="1:230" x14ac:dyDescent="0.25">
      <c r="A14" s="5" t="s">
        <v>852</v>
      </c>
      <c r="B14" s="28"/>
      <c r="C14" s="28"/>
      <c r="D14" s="28"/>
      <c r="E14" s="28" t="s">
        <v>877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DD14" s="5"/>
      <c r="DE14" s="5"/>
      <c r="DF14" s="5"/>
      <c r="EB14" s="9"/>
      <c r="FF14" s="9"/>
      <c r="FG14" s="9"/>
      <c r="FO14" s="9"/>
      <c r="FP14" s="9"/>
      <c r="FU14" s="9"/>
      <c r="FV14" s="9"/>
      <c r="GA14" s="9"/>
      <c r="GB14" s="9"/>
      <c r="GD14" s="9"/>
      <c r="GE14" s="9"/>
      <c r="GG14" s="9"/>
      <c r="GH14" s="9"/>
      <c r="GP14" s="9"/>
      <c r="GS14" s="9"/>
      <c r="GT14" s="9"/>
      <c r="GV14" s="9"/>
      <c r="HB14" s="9"/>
      <c r="HE14" s="9"/>
      <c r="HF14" s="9"/>
      <c r="HH14" s="9"/>
      <c r="HN14" s="9"/>
      <c r="HT14" s="9"/>
    </row>
    <row r="15" spans="1:230" x14ac:dyDescent="0.25">
      <c r="A15" s="5" t="s">
        <v>853</v>
      </c>
      <c r="B15" s="28"/>
      <c r="C15" s="28"/>
      <c r="D15" s="28"/>
      <c r="E15" s="28" t="s">
        <v>878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DD15" s="5"/>
      <c r="DE15" s="5"/>
      <c r="DF15" s="5"/>
      <c r="EB15" s="9"/>
      <c r="FF15" s="9"/>
      <c r="FG15" s="9"/>
      <c r="FU15" s="9"/>
      <c r="FV15" s="9"/>
      <c r="GD15" s="9"/>
      <c r="GE15" s="9"/>
      <c r="GG15" s="9"/>
      <c r="GH15" s="9"/>
      <c r="GP15" s="9"/>
      <c r="GV15" s="9"/>
      <c r="HB15" s="9"/>
      <c r="HH15" s="9"/>
      <c r="HN15" s="9"/>
      <c r="HT15" s="9"/>
    </row>
    <row r="16" spans="1:23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7"/>
      <c r="BC16" s="7"/>
      <c r="BD16" s="7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FF16" s="9"/>
      <c r="GD16" s="9"/>
      <c r="GE16" s="9"/>
      <c r="HT16" s="9"/>
    </row>
    <row r="17" spans="1:92" x14ac:dyDescent="0.25">
      <c r="A17" s="5" t="s">
        <v>863</v>
      </c>
      <c r="B17" s="5"/>
      <c r="C17" s="5"/>
      <c r="D17" s="5"/>
      <c r="E17" s="5" t="s">
        <v>865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T17" s="5"/>
      <c r="CB17" s="5"/>
      <c r="CC17" s="5"/>
      <c r="CD17" s="5"/>
      <c r="CE17" s="5"/>
      <c r="CF17" s="5"/>
      <c r="CL17" s="5"/>
      <c r="CM17" s="5"/>
      <c r="CN17" s="5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I48"/>
  <sheetViews>
    <sheetView zoomScale="80" zoomScaleNormal="80" workbookViewId="0">
      <pane xSplit="2" ySplit="5" topLeftCell="C6" activePane="bottomRight" state="frozen"/>
      <selection pane="topRight" activeCell="C1" sqref="C1"/>
      <selection pane="bottomLeft" activeCell="A9" sqref="A9"/>
      <selection pane="bottomRight" activeCell="L37" sqref="L37"/>
    </sheetView>
  </sheetViews>
  <sheetFormatPr defaultRowHeight="15" x14ac:dyDescent="0.25"/>
  <cols>
    <col min="1" max="1" width="42.5703125" bestFit="1" customWidth="1"/>
    <col min="2" max="2" width="28.7109375" bestFit="1" customWidth="1"/>
  </cols>
  <sheetData>
    <row r="1" spans="1:243" s="13" customFormat="1" x14ac:dyDescent="0.25">
      <c r="A1" s="12" t="s">
        <v>760</v>
      </c>
    </row>
    <row r="2" spans="1:243" s="17" customFormat="1" x14ac:dyDescent="0.25">
      <c r="A2" s="2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4" spans="1:243" s="16" customFormat="1" x14ac:dyDescent="0.25">
      <c r="A4" s="16" t="s">
        <v>0</v>
      </c>
    </row>
    <row r="5" spans="1:243" s="17" customFormat="1" ht="21" x14ac:dyDescent="0.35">
      <c r="A5" s="23" t="s">
        <v>857</v>
      </c>
      <c r="B5" s="23" t="s">
        <v>858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7"/>
      <c r="IC5" s="27"/>
      <c r="ID5" s="14"/>
      <c r="IE5" s="14"/>
      <c r="IF5" s="14"/>
      <c r="IG5" s="14"/>
      <c r="IH5" s="14"/>
      <c r="II5" s="14"/>
    </row>
    <row r="6" spans="1:243" x14ac:dyDescent="0.25">
      <c r="A6" t="s">
        <v>764</v>
      </c>
      <c r="B6" t="s">
        <v>765</v>
      </c>
    </row>
    <row r="7" spans="1:243" x14ac:dyDescent="0.25">
      <c r="A7" t="s">
        <v>766</v>
      </c>
      <c r="B7" t="s">
        <v>767</v>
      </c>
    </row>
    <row r="8" spans="1:243" x14ac:dyDescent="0.25">
      <c r="A8" t="s">
        <v>768</v>
      </c>
      <c r="B8" t="s">
        <v>769</v>
      </c>
    </row>
    <row r="9" spans="1:243" x14ac:dyDescent="0.25">
      <c r="A9" t="s">
        <v>770</v>
      </c>
      <c r="B9" t="s">
        <v>771</v>
      </c>
    </row>
    <row r="10" spans="1:243" x14ac:dyDescent="0.25">
      <c r="A10" t="s">
        <v>772</v>
      </c>
      <c r="B10" t="s">
        <v>773</v>
      </c>
    </row>
    <row r="11" spans="1:243" x14ac:dyDescent="0.25">
      <c r="A11" t="s">
        <v>774</v>
      </c>
      <c r="B11" t="s">
        <v>775</v>
      </c>
    </row>
    <row r="12" spans="1:243" x14ac:dyDescent="0.25">
      <c r="A12" t="s">
        <v>762</v>
      </c>
      <c r="B12" t="s">
        <v>761</v>
      </c>
    </row>
    <row r="13" spans="1:243" x14ac:dyDescent="0.25">
      <c r="A13" t="s">
        <v>776</v>
      </c>
      <c r="B13" t="s">
        <v>777</v>
      </c>
    </row>
    <row r="14" spans="1:243" x14ac:dyDescent="0.25">
      <c r="A14" t="s">
        <v>778</v>
      </c>
      <c r="B14" t="s">
        <v>779</v>
      </c>
    </row>
    <row r="15" spans="1:243" x14ac:dyDescent="0.25">
      <c r="A15" t="s">
        <v>780</v>
      </c>
      <c r="B15" t="s">
        <v>781</v>
      </c>
    </row>
    <row r="16" spans="1:243" x14ac:dyDescent="0.25">
      <c r="A16" t="s">
        <v>782</v>
      </c>
      <c r="B16" t="s">
        <v>783</v>
      </c>
    </row>
    <row r="17" spans="1:2" x14ac:dyDescent="0.25">
      <c r="A17" t="s">
        <v>784</v>
      </c>
      <c r="B17" t="s">
        <v>763</v>
      </c>
    </row>
    <row r="18" spans="1:2" x14ac:dyDescent="0.25">
      <c r="A18" t="s">
        <v>785</v>
      </c>
      <c r="B18" t="s">
        <v>786</v>
      </c>
    </row>
    <row r="19" spans="1:2" x14ac:dyDescent="0.25">
      <c r="A19" t="s">
        <v>787</v>
      </c>
      <c r="B19" t="s">
        <v>788</v>
      </c>
    </row>
    <row r="20" spans="1:2" x14ac:dyDescent="0.25">
      <c r="A20" t="s">
        <v>789</v>
      </c>
      <c r="B20" t="s">
        <v>790</v>
      </c>
    </row>
    <row r="21" spans="1:2" x14ac:dyDescent="0.25">
      <c r="A21" t="s">
        <v>791</v>
      </c>
      <c r="B21" t="s">
        <v>792</v>
      </c>
    </row>
    <row r="22" spans="1:2" x14ac:dyDescent="0.25">
      <c r="A22" t="s">
        <v>793</v>
      </c>
      <c r="B22" t="s">
        <v>794</v>
      </c>
    </row>
    <row r="23" spans="1:2" x14ac:dyDescent="0.25">
      <c r="A23" t="s">
        <v>795</v>
      </c>
      <c r="B23" t="s">
        <v>796</v>
      </c>
    </row>
    <row r="24" spans="1:2" x14ac:dyDescent="0.25">
      <c r="A24" t="s">
        <v>797</v>
      </c>
      <c r="B24" t="s">
        <v>798</v>
      </c>
    </row>
    <row r="25" spans="1:2" x14ac:dyDescent="0.25">
      <c r="A25" t="s">
        <v>799</v>
      </c>
      <c r="B25" t="s">
        <v>800</v>
      </c>
    </row>
    <row r="26" spans="1:2" x14ac:dyDescent="0.25">
      <c r="A26" t="s">
        <v>801</v>
      </c>
      <c r="B26" t="s">
        <v>802</v>
      </c>
    </row>
    <row r="27" spans="1:2" x14ac:dyDescent="0.25">
      <c r="A27" t="s">
        <v>803</v>
      </c>
      <c r="B27" t="s">
        <v>804</v>
      </c>
    </row>
    <row r="28" spans="1:2" x14ac:dyDescent="0.25">
      <c r="A28" t="s">
        <v>805</v>
      </c>
      <c r="B28" t="s">
        <v>806</v>
      </c>
    </row>
    <row r="29" spans="1:2" x14ac:dyDescent="0.25">
      <c r="A29" t="s">
        <v>807</v>
      </c>
      <c r="B29" t="s">
        <v>808</v>
      </c>
    </row>
    <row r="30" spans="1:2" x14ac:dyDescent="0.25">
      <c r="A30" t="s">
        <v>809</v>
      </c>
      <c r="B30" t="s">
        <v>810</v>
      </c>
    </row>
    <row r="31" spans="1:2" x14ac:dyDescent="0.25">
      <c r="A31" t="s">
        <v>811</v>
      </c>
      <c r="B31" t="s">
        <v>812</v>
      </c>
    </row>
    <row r="32" spans="1:2" x14ac:dyDescent="0.25">
      <c r="A32" t="s">
        <v>813</v>
      </c>
      <c r="B32" t="s">
        <v>814</v>
      </c>
    </row>
    <row r="33" spans="1:2" x14ac:dyDescent="0.25">
      <c r="A33" t="s">
        <v>815</v>
      </c>
      <c r="B33" t="s">
        <v>816</v>
      </c>
    </row>
    <row r="34" spans="1:2" x14ac:dyDescent="0.25">
      <c r="A34" t="s">
        <v>817</v>
      </c>
      <c r="B34" t="s">
        <v>818</v>
      </c>
    </row>
    <row r="35" spans="1:2" x14ac:dyDescent="0.25">
      <c r="A35" t="s">
        <v>819</v>
      </c>
      <c r="B35" t="s">
        <v>820</v>
      </c>
    </row>
    <row r="36" spans="1:2" x14ac:dyDescent="0.25">
      <c r="A36" t="s">
        <v>821</v>
      </c>
      <c r="B36" t="s">
        <v>822</v>
      </c>
    </row>
    <row r="37" spans="1:2" x14ac:dyDescent="0.25">
      <c r="A37" t="s">
        <v>823</v>
      </c>
      <c r="B37" t="s">
        <v>824</v>
      </c>
    </row>
    <row r="38" spans="1:2" x14ac:dyDescent="0.25">
      <c r="A38" t="s">
        <v>825</v>
      </c>
      <c r="B38" t="s">
        <v>826</v>
      </c>
    </row>
    <row r="39" spans="1:2" x14ac:dyDescent="0.25">
      <c r="A39" t="s">
        <v>827</v>
      </c>
      <c r="B39" t="s">
        <v>828</v>
      </c>
    </row>
    <row r="40" spans="1:2" x14ac:dyDescent="0.25">
      <c r="A40" t="s">
        <v>829</v>
      </c>
      <c r="B40" t="s">
        <v>830</v>
      </c>
    </row>
    <row r="41" spans="1:2" x14ac:dyDescent="0.25">
      <c r="A41" t="s">
        <v>831</v>
      </c>
      <c r="B41" t="s">
        <v>832</v>
      </c>
    </row>
    <row r="42" spans="1:2" x14ac:dyDescent="0.25">
      <c r="A42" t="s">
        <v>789</v>
      </c>
      <c r="B42" t="s">
        <v>833</v>
      </c>
    </row>
    <row r="44" spans="1:2" x14ac:dyDescent="0.25">
      <c r="A44" s="1" t="s">
        <v>861</v>
      </c>
    </row>
    <row r="46" spans="1:2" x14ac:dyDescent="0.25">
      <c r="A46" s="1" t="s">
        <v>837</v>
      </c>
    </row>
    <row r="48" spans="1:2" x14ac:dyDescent="0.25">
      <c r="A48" s="1" t="s">
        <v>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Sound Effects and Animal Sounds</vt:lpstr>
      <vt:lpstr>Animals (Real or Toy)</vt:lpstr>
      <vt:lpstr>Vehicles (Real or Toy) &amp; Toys</vt:lpstr>
      <vt:lpstr>Food and Drink</vt:lpstr>
      <vt:lpstr>Clothing &amp; Body Parts</vt:lpstr>
      <vt:lpstr>Small Household Items</vt:lpstr>
      <vt:lpstr>Furniture and Rooms</vt:lpstr>
      <vt:lpstr>Outside Things</vt:lpstr>
      <vt:lpstr>Places to Go; People</vt:lpstr>
      <vt:lpstr>Games and Routines</vt:lpstr>
      <vt:lpstr>Action Words</vt:lpstr>
      <vt:lpstr>Descriptive Words</vt:lpstr>
      <vt:lpstr>Words-time; Pronouns; Que</vt:lpstr>
      <vt:lpstr>Prepositions and locations, qua</vt:lpstr>
      <vt:lpstr>Helping Verbs, Connecting Words</vt:lpstr>
      <vt:lpstr>B. Word Forms</vt:lpstr>
      <vt:lpstr>C. Word Endings Part 2</vt:lpstr>
      <vt:lpstr>Not in Use</vt:lpstr>
      <vt:lpstr>Not in Use 2</vt:lpstr>
      <vt:lpstr>Not in Use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Language Development</dc:creator>
  <cp:lastModifiedBy>psydevlab</cp:lastModifiedBy>
  <dcterms:created xsi:type="dcterms:W3CDTF">2012-05-21T21:37:37Z</dcterms:created>
  <dcterms:modified xsi:type="dcterms:W3CDTF">2021-06-02T19:58:17Z</dcterms:modified>
</cp:coreProperties>
</file>